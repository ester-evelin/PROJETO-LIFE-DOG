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/>
  <bookViews>
    <workbookView xWindow="-555" yWindow="615" windowWidth="9135" windowHeight="4455"/>
  </bookViews>
  <sheets>
    <sheet name="planilha analítico" sheetId="282" r:id="rId1"/>
    <sheet name="cronog fisico" sheetId="286" r:id="rId2"/>
  </sheets>
  <definedNames>
    <definedName name="_xlnm.Print_Area" localSheetId="1">'cronog fisico'!$A$1:$N$37</definedName>
    <definedName name="_xlnm.Print_Area" localSheetId="0">'planilha analítico'!$A$1:$I$651</definedName>
    <definedName name="_xlnm.Print_Titles" localSheetId="0">'planilha analítico'!$1:$7</definedName>
  </definedNames>
  <calcPr calcId="125725" fullPrecision="0"/>
</workbook>
</file>

<file path=xl/calcChain.xml><?xml version="1.0" encoding="utf-8"?>
<calcChain xmlns="http://schemas.openxmlformats.org/spreadsheetml/2006/main">
  <c r="K2" i="286"/>
  <c r="G11" i="282"/>
  <c r="G12" s="1"/>
  <c r="G13" s="1"/>
  <c r="G17"/>
  <c r="G18"/>
  <c r="G19"/>
  <c r="G20"/>
  <c r="G21"/>
  <c r="G24"/>
  <c r="G25"/>
  <c r="G28"/>
  <c r="G29"/>
  <c r="G30"/>
  <c r="G36"/>
  <c r="G37"/>
  <c r="G38"/>
  <c r="G39"/>
  <c r="G45"/>
  <c r="G46" s="1"/>
  <c r="G48"/>
  <c r="G49" s="1"/>
  <c r="G51"/>
  <c r="G52"/>
  <c r="G53"/>
  <c r="G56"/>
  <c r="G57"/>
  <c r="G58"/>
  <c r="G59"/>
  <c r="G60"/>
  <c r="G63"/>
  <c r="G64"/>
  <c r="G65"/>
  <c r="G66"/>
  <c r="G67"/>
  <c r="G72"/>
  <c r="G73"/>
  <c r="G74"/>
  <c r="G75"/>
  <c r="G76"/>
  <c r="G79"/>
  <c r="G80"/>
  <c r="G81"/>
  <c r="G82"/>
  <c r="G83"/>
  <c r="G85"/>
  <c r="G86"/>
  <c r="G87"/>
  <c r="G88"/>
  <c r="G89"/>
  <c r="G90"/>
  <c r="G91"/>
  <c r="G92"/>
  <c r="G94"/>
  <c r="G95"/>
  <c r="G96"/>
  <c r="G97"/>
  <c r="G100"/>
  <c r="G101"/>
  <c r="G102"/>
  <c r="G103"/>
  <c r="G106"/>
  <c r="G107" s="1"/>
  <c r="G109"/>
  <c r="G110" s="1"/>
  <c r="G270"/>
  <c r="G271"/>
  <c r="G274" s="1"/>
  <c r="G272"/>
  <c r="G273"/>
  <c r="G267"/>
  <c r="G268" s="1"/>
  <c r="G263"/>
  <c r="G264" s="1"/>
  <c r="G255"/>
  <c r="G256"/>
  <c r="G257"/>
  <c r="G258"/>
  <c r="G251"/>
  <c r="G252" s="1"/>
  <c r="G243"/>
  <c r="G244"/>
  <c r="G245"/>
  <c r="G246"/>
  <c r="G247"/>
  <c r="G239"/>
  <c r="G240"/>
  <c r="G234"/>
  <c r="G235"/>
  <c r="G236"/>
  <c r="G229"/>
  <c r="G230"/>
  <c r="G231"/>
  <c r="G225"/>
  <c r="G226" s="1"/>
  <c r="G222"/>
  <c r="G223" s="1"/>
  <c r="G219"/>
  <c r="G220" s="1"/>
  <c r="G216"/>
  <c r="G217" s="1"/>
  <c r="G213"/>
  <c r="G214" s="1"/>
  <c r="G209"/>
  <c r="G210"/>
  <c r="G205"/>
  <c r="G206" s="1"/>
  <c r="G201"/>
  <c r="G202"/>
  <c r="G197"/>
  <c r="G198" s="1"/>
  <c r="G194"/>
  <c r="G195" s="1"/>
  <c r="G191"/>
  <c r="G192" s="1"/>
  <c r="G186"/>
  <c r="G187"/>
  <c r="G188"/>
  <c r="G182"/>
  <c r="G183" s="1"/>
  <c r="G178"/>
  <c r="G179"/>
  <c r="G180" s="1"/>
  <c r="G175"/>
  <c r="G176" s="1"/>
  <c r="G171"/>
  <c r="G172"/>
  <c r="G167"/>
  <c r="G168"/>
  <c r="G161"/>
  <c r="G162"/>
  <c r="G157"/>
  <c r="G158"/>
  <c r="G159"/>
  <c r="G149"/>
  <c r="G150"/>
  <c r="G151"/>
  <c r="G152"/>
  <c r="G153"/>
  <c r="G154"/>
  <c r="G144"/>
  <c r="G145"/>
  <c r="G146"/>
  <c r="G147"/>
  <c r="G138"/>
  <c r="G139"/>
  <c r="G140"/>
  <c r="G141"/>
  <c r="G142" s="1"/>
  <c r="G125"/>
  <c r="G126"/>
  <c r="G127"/>
  <c r="G128"/>
  <c r="G129"/>
  <c r="G130"/>
  <c r="G131"/>
  <c r="G132"/>
  <c r="G133"/>
  <c r="G134"/>
  <c r="G135"/>
  <c r="G122"/>
  <c r="G123" s="1"/>
  <c r="G115"/>
  <c r="G116"/>
  <c r="G117"/>
  <c r="G118"/>
  <c r="G337"/>
  <c r="G338"/>
  <c r="G361" s="1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26"/>
  <c r="G327"/>
  <c r="G328"/>
  <c r="G329"/>
  <c r="G330"/>
  <c r="G331"/>
  <c r="G332"/>
  <c r="G333"/>
  <c r="G309"/>
  <c r="G310"/>
  <c r="G311"/>
  <c r="G312"/>
  <c r="G313"/>
  <c r="G314"/>
  <c r="G315"/>
  <c r="G316"/>
  <c r="G317"/>
  <c r="G318"/>
  <c r="G319"/>
  <c r="G320"/>
  <c r="G321"/>
  <c r="G322"/>
  <c r="G305"/>
  <c r="G306"/>
  <c r="G300"/>
  <c r="G301"/>
  <c r="G302"/>
  <c r="G290"/>
  <c r="G291"/>
  <c r="G292"/>
  <c r="G293"/>
  <c r="G294"/>
  <c r="G295"/>
  <c r="G296"/>
  <c r="G297"/>
  <c r="G279"/>
  <c r="G280"/>
  <c r="G281"/>
  <c r="G282"/>
  <c r="G283"/>
  <c r="G284"/>
  <c r="G285"/>
  <c r="G286"/>
  <c r="G287"/>
  <c r="G479"/>
  <c r="G480"/>
  <c r="G481"/>
  <c r="G482"/>
  <c r="G483"/>
  <c r="G484"/>
  <c r="G485"/>
  <c r="G486"/>
  <c r="G487"/>
  <c r="G463"/>
  <c r="G464"/>
  <c r="G465"/>
  <c r="G466"/>
  <c r="G467"/>
  <c r="G468"/>
  <c r="G469"/>
  <c r="G470"/>
  <c r="G471"/>
  <c r="G472"/>
  <c r="G473"/>
  <c r="G474"/>
  <c r="G475"/>
  <c r="G476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366"/>
  <c r="G367"/>
  <c r="G368"/>
  <c r="G369"/>
  <c r="G370"/>
  <c r="G371"/>
  <c r="G372"/>
  <c r="G373"/>
  <c r="G374"/>
  <c r="G375"/>
  <c r="G376"/>
  <c r="G377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 s="1"/>
  <c r="H617"/>
  <c r="C21" i="286" s="1"/>
  <c r="G628" i="282"/>
  <c r="G629" s="1"/>
  <c r="G625"/>
  <c r="G626"/>
  <c r="G627" s="1"/>
  <c r="G621"/>
  <c r="G622" s="1"/>
  <c r="G634"/>
  <c r="G635"/>
  <c r="G636"/>
  <c r="G638" s="1"/>
  <c r="G639" s="1"/>
  <c r="G637"/>
  <c r="B27" i="286"/>
  <c r="B25"/>
  <c r="A25"/>
  <c r="B23"/>
  <c r="A23"/>
  <c r="B21"/>
  <c r="A21"/>
  <c r="B19"/>
  <c r="A19"/>
  <c r="B17"/>
  <c r="A17"/>
  <c r="B15"/>
  <c r="A15"/>
  <c r="B13"/>
  <c r="A13"/>
  <c r="B11"/>
  <c r="A11"/>
  <c r="B9"/>
  <c r="A9"/>
  <c r="B7"/>
  <c r="A7"/>
  <c r="G593" i="282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33"/>
  <c r="G616" l="1"/>
  <c r="G477"/>
  <c r="G298"/>
  <c r="G119"/>
  <c r="G237"/>
  <c r="G104"/>
  <c r="G22"/>
  <c r="G461"/>
  <c r="G288"/>
  <c r="G323"/>
  <c r="G169"/>
  <c r="G173"/>
  <c r="G189"/>
  <c r="G203"/>
  <c r="G232"/>
  <c r="G241"/>
  <c r="G40"/>
  <c r="G488"/>
  <c r="G303"/>
  <c r="G334"/>
  <c r="G248"/>
  <c r="G259"/>
  <c r="G98"/>
  <c r="G68"/>
  <c r="G54"/>
  <c r="G31"/>
  <c r="G630"/>
  <c r="G378"/>
  <c r="G307"/>
  <c r="G136"/>
  <c r="G163"/>
  <c r="G211"/>
  <c r="G77"/>
  <c r="G61"/>
  <c r="G26"/>
  <c r="H639"/>
  <c r="H630"/>
  <c r="C23" i="286" s="1"/>
  <c r="H589" i="282"/>
  <c r="C19" i="286" s="1"/>
  <c r="G362" i="282"/>
  <c r="G111"/>
  <c r="H13"/>
  <c r="C7" i="286" s="1"/>
  <c r="G275" i="282" l="1"/>
  <c r="H275" s="1"/>
  <c r="C13" i="286" s="1"/>
  <c r="G489" i="282"/>
  <c r="G41"/>
  <c r="H41" s="1"/>
  <c r="C9" i="286" s="1"/>
  <c r="H489" i="282"/>
  <c r="C17" i="286" s="1"/>
  <c r="C25"/>
  <c r="H111" i="282"/>
  <c r="C11" i="286" s="1"/>
  <c r="H362" i="282"/>
  <c r="C15" i="286" s="1"/>
  <c r="H641" i="282" l="1"/>
  <c r="H642" l="1"/>
  <c r="H643" s="1"/>
  <c r="H616" l="1"/>
  <c r="D21" i="286" s="1"/>
  <c r="B4" i="282"/>
  <c r="H638"/>
  <c r="D25" i="286" s="1"/>
  <c r="H629" i="282"/>
  <c r="D23" i="286" s="1"/>
  <c r="H588" i="282"/>
  <c r="D19" i="286" s="1"/>
  <c r="H40" i="282"/>
  <c r="D9" i="286" s="1"/>
  <c r="H12" i="282"/>
  <c r="D7" i="286" s="1"/>
  <c r="H488" i="282"/>
  <c r="D17" i="286" s="1"/>
  <c r="H110" i="282"/>
  <c r="D11" i="286" s="1"/>
  <c r="H274" i="282"/>
  <c r="D13" i="286" s="1"/>
  <c r="H361" i="282"/>
  <c r="D15" i="286" s="1"/>
  <c r="C27"/>
  <c r="C31" s="1"/>
  <c r="I642" i="282"/>
  <c r="I643" l="1"/>
  <c r="D27" i="286"/>
  <c r="D31" s="1"/>
</calcChain>
</file>

<file path=xl/sharedStrings.xml><?xml version="1.0" encoding="utf-8"?>
<sst xmlns="http://schemas.openxmlformats.org/spreadsheetml/2006/main" count="1750" uniqueCount="1149">
  <si>
    <t xml:space="preserve">Cola HI-17 BRASCOLA ou similar para ISOPOR ou BIDIN </t>
  </si>
  <si>
    <t>Gl</t>
  </si>
  <si>
    <t>Fita Plástica de Arquear com 12mm de largura.</t>
  </si>
  <si>
    <t>04.01.200</t>
  </si>
  <si>
    <t>Esquadrias</t>
  </si>
  <si>
    <t>04.01.203</t>
  </si>
  <si>
    <t>04.01.230</t>
  </si>
  <si>
    <t>04.01.303</t>
  </si>
  <si>
    <t>04.01.400</t>
  </si>
  <si>
    <t>04.01.407</t>
  </si>
  <si>
    <t>04.01.415</t>
  </si>
  <si>
    <t>04.01.500</t>
  </si>
  <si>
    <t>Revestimentos</t>
  </si>
  <si>
    <t>04.01.510</t>
  </si>
  <si>
    <t>04.01.511</t>
  </si>
  <si>
    <t xml:space="preserve">m2  </t>
  </si>
  <si>
    <t>04.01.530</t>
  </si>
  <si>
    <t>04.01.531</t>
  </si>
  <si>
    <t>Tampo de concreto armado de 1100mm para tampão t33 médio - fornecimento e assentamento</t>
  </si>
  <si>
    <t>Tampão t33 leve inscrição esgoto - fornecimento e assentamento</t>
  </si>
  <si>
    <t>Preparo de mufla para caixa de 600mm</t>
  </si>
  <si>
    <t>Preparo de mufla para caixa de 900mm</t>
  </si>
  <si>
    <t>06.01.300</t>
  </si>
  <si>
    <t>Execução de caixa de hidrante de parede em alvenaria</t>
  </si>
  <si>
    <t>Placa de sinalização - p1 r=17cm</t>
  </si>
  <si>
    <t>Placa de sinalização - e1 - 25x25cm</t>
  </si>
  <si>
    <t>Placa de sinalização - e4 - 25x25cm</t>
  </si>
  <si>
    <t>Placa de sinalização - s7 - 25x25cm</t>
  </si>
  <si>
    <t>Placa de sinalização - s9 - 25x25cm</t>
  </si>
  <si>
    <t>Placa de sinalização - s6b - 37x24cm</t>
  </si>
  <si>
    <t>Base de pára-raios com 4 furos para chumbamento em concreto</t>
  </si>
  <si>
    <t>Braçadeira de cordoalha e haste</t>
  </si>
  <si>
    <t>Ferragem de suporte dos anéis de isolamento com parafuso de fixação</t>
  </si>
  <si>
    <t>Anéis de isolamento de louça</t>
  </si>
  <si>
    <t>Cabo de cobre nu de 5/16" (8mm²)</t>
  </si>
  <si>
    <t>Tubo de pvc marrom de 25mm com 3,0m de comprimento</t>
  </si>
  <si>
    <t>Haste de aterramento</t>
  </si>
  <si>
    <t>Conector para haste de aterramento</t>
  </si>
  <si>
    <t>Luz de alerta intermitente com bateria solar</t>
  </si>
  <si>
    <t>Caixa pré-moldada de concreto, para abrigo de terra</t>
  </si>
  <si>
    <t>Tampão t16 de ferro sem inscrição</t>
  </si>
  <si>
    <t>Mangueira corrugada de 25mm</t>
  </si>
  <si>
    <t>Mangueira corrugada de 32mm</t>
  </si>
  <si>
    <t>Mangueira preta de 50mm</t>
  </si>
  <si>
    <t>Quadro para 12 pontos, com fundo de madeira e veneziana</t>
  </si>
  <si>
    <t>Tomada para telefone, completa sendo um sego</t>
  </si>
  <si>
    <t>Caixa 4x4"</t>
  </si>
  <si>
    <t>Central telefônica pabx para até 50 ramais</t>
  </si>
  <si>
    <t>Caixa de entrada de linha - rua</t>
  </si>
  <si>
    <t>Cabo cce 12 pares</t>
  </si>
  <si>
    <t>Cabo cci 8 pares</t>
  </si>
  <si>
    <t>Cabo para ligação de ramais em pabx</t>
  </si>
  <si>
    <t>Caixa pré-moldada de concreto, de passagem</t>
  </si>
  <si>
    <t>Tampão t16 de ferro com inscrição telefone</t>
  </si>
  <si>
    <t>Cabo cci 12 pares</t>
  </si>
  <si>
    <t>Tomada para ponto de rede, completa com um ponto</t>
  </si>
  <si>
    <t>Cabo de rede padrão 5e</t>
  </si>
  <si>
    <t>Terminais para ligação de rede</t>
  </si>
  <si>
    <t>05.01.200.7</t>
  </si>
  <si>
    <t>05.01.200.8</t>
  </si>
  <si>
    <t>05.01.200.9</t>
  </si>
  <si>
    <t>Cuba louça branca em bancada inclusive torneira e complementos (válvula, sifão e rabicho)</t>
  </si>
  <si>
    <t>Mictorio louça branca c/pertences e registro de pressão cromado 1/2" sem instalações hidráulicas e sanitárias</t>
  </si>
  <si>
    <t>Chuveiro elétrico plástico 110/220v c/braco sem registro pressão - fornecimento e colocação</t>
  </si>
  <si>
    <t>Cuba aço inoxidável retangular numero 3 s/complementos</t>
  </si>
  <si>
    <t>Lavatório Louça C/Coluna Branco Padrão Médio C/Acessorios De Fixação Ferragens Em Metal Cromado,  Sifão 1680 1"X1.1/4" Torneira Pressão Excl Mão De Obra.</t>
  </si>
  <si>
    <t xml:space="preserve">Vaso Sanitário De Louça Branco Convencional </t>
  </si>
  <si>
    <t>04.03.200</t>
  </si>
  <si>
    <t>Bancadas e Balcões</t>
  </si>
  <si>
    <t>04.03.201</t>
  </si>
  <si>
    <t>04.03.202</t>
  </si>
  <si>
    <t>Bancada de granito cinza esp. 2cm para lavatórios com furo para uma cuba de louça</t>
  </si>
  <si>
    <t>Bancada de granito cinza esp. 2cm para pia com furo para uma cuba de aço inox</t>
  </si>
  <si>
    <t xml:space="preserve">Bancada de granito cinza esp. 2cm para área de churrasqueira </t>
  </si>
  <si>
    <t>04.03.203</t>
  </si>
  <si>
    <r>
      <t>Unidade condensadora c/ compressor hermético e 1 ventiladores, 2,5 HP completa, 380V/3F/60Hz, p/ R134a  mod. ref. HCZ 028 50 V  DANFOSS, cap. 3700Kcal/h TE=-1</t>
    </r>
    <r>
      <rPr>
        <vertAlign val="superscript"/>
        <sz val="11"/>
        <rFont val="Arial"/>
        <family val="2"/>
      </rPr>
      <t>o</t>
    </r>
    <r>
      <rPr>
        <sz val="11"/>
        <rFont val="Arial"/>
        <family val="2"/>
      </rPr>
      <t>C  temp. cond.=32</t>
    </r>
    <r>
      <rPr>
        <vertAlign val="superscript"/>
        <sz val="11"/>
        <rFont val="Arial"/>
        <family val="2"/>
      </rPr>
      <t>o</t>
    </r>
    <r>
      <rPr>
        <sz val="11"/>
        <rFont val="Arial"/>
        <family val="2"/>
      </rPr>
      <t xml:space="preserve">C </t>
    </r>
  </si>
  <si>
    <r>
      <t>Unidade condensadora c/ compressor hermético e 1 ventiladores, 2 HP completa, 380V/3F/60Hz, p/ R134a  mod. ref. HCZ 022 50 V  DANFOSS, cap.2880Kcal/h TE=-1</t>
    </r>
    <r>
      <rPr>
        <vertAlign val="superscript"/>
        <sz val="11"/>
        <rFont val="Arial"/>
        <family val="2"/>
      </rPr>
      <t>o</t>
    </r>
    <r>
      <rPr>
        <sz val="11"/>
        <rFont val="Arial"/>
        <family val="2"/>
      </rPr>
      <t>C  temp. cond.=32</t>
    </r>
    <r>
      <rPr>
        <vertAlign val="superscript"/>
        <sz val="11"/>
        <rFont val="Arial"/>
        <family val="2"/>
      </rPr>
      <t>o</t>
    </r>
    <r>
      <rPr>
        <sz val="11"/>
        <rFont val="Arial"/>
        <family val="2"/>
      </rPr>
      <t xml:space="preserve">C </t>
    </r>
  </si>
  <si>
    <t xml:space="preserve">Válvula de exp. com equalizador ext. p/ R134a, diâm 3/8x1/2", capilar 1,5 m, orifício 00, ref. DANFOSS TEN-2  </t>
  </si>
  <si>
    <r>
      <t>Unid. evaporadora multi-ventiladores, cap. mínima  4460 Kcal/h c/ TE=-1</t>
    </r>
    <r>
      <rPr>
        <vertAlign val="superscript"/>
        <sz val="11"/>
        <rFont val="Arial"/>
        <family val="2"/>
      </rPr>
      <t>o</t>
    </r>
    <r>
      <rPr>
        <sz val="11"/>
        <rFont val="Arial"/>
        <family val="2"/>
      </rPr>
      <t>C, gás R134a mod. ref. MI Plus 46 da MIPAL, c/ dim. máx 136 x 47 x 41 cm de alt.</t>
    </r>
  </si>
  <si>
    <r>
      <t>Unid. evaporadora multi-ventiladores, cap. mínima  3640 Kcal/h c/ TE=-1</t>
    </r>
    <r>
      <rPr>
        <vertAlign val="superscript"/>
        <sz val="11"/>
        <rFont val="Arial"/>
        <family val="2"/>
      </rPr>
      <t>o</t>
    </r>
    <r>
      <rPr>
        <sz val="11"/>
        <rFont val="Arial"/>
        <family val="2"/>
      </rPr>
      <t>C, gás R134a mod. ref. MI Plus 38 da MIPAL, c/ dim. máx 136 x 47 x 41 cm de alt.</t>
    </r>
  </si>
  <si>
    <t>06.02.000.1</t>
  </si>
  <si>
    <t>06.02.000.2</t>
  </si>
  <si>
    <t>06.02.000.3</t>
  </si>
  <si>
    <t>06.02.000.4</t>
  </si>
  <si>
    <t>06.02.000.5</t>
  </si>
  <si>
    <t>06.02.000.6</t>
  </si>
  <si>
    <t>06.02.000.7</t>
  </si>
  <si>
    <t>06.02.000.8</t>
  </si>
  <si>
    <t>06.02.000.9</t>
  </si>
  <si>
    <t>06.02.000.10</t>
  </si>
  <si>
    <t>06.02.000.11</t>
  </si>
  <si>
    <t>06.02.000.12</t>
  </si>
  <si>
    <t>06.02.000.13</t>
  </si>
  <si>
    <t>06.02.000.14</t>
  </si>
  <si>
    <t>06.09.000.1</t>
  </si>
  <si>
    <t>06.09.000.2</t>
  </si>
  <si>
    <t>06.09.000.3</t>
  </si>
  <si>
    <t>PAISAGISMO</t>
  </si>
  <si>
    <t>04.04.300</t>
  </si>
  <si>
    <t>Vegetação</t>
  </si>
  <si>
    <t>05.00.000</t>
  </si>
  <si>
    <t>INSTALAÇÕES HIDRÁULICAS E SANITÁRIAS</t>
  </si>
  <si>
    <t>05.01.000</t>
  </si>
  <si>
    <t>ÁGUA FRIA</t>
  </si>
  <si>
    <t>05.01.200</t>
  </si>
  <si>
    <t>05.01.500</t>
  </si>
  <si>
    <t xml:space="preserve">Os quantitativos apresentados nas planilhas  fornecidas pelo Contratante , não deverão ser tomados como definitivos, haja visto que apenas subsidiam a compreensão do conjunto das Obras/Serviços a serem licitados. </t>
  </si>
  <si>
    <t>É de inteira responsabilidade da licitante proponente o levantamento e quantificação dos materiais, serviços e custos necessários à execução do objeto do Edital</t>
  </si>
  <si>
    <t xml:space="preserve">TOTAL DO ITEM       </t>
  </si>
  <si>
    <t>Encargos Sociais   115,44%</t>
  </si>
  <si>
    <t>4) -</t>
  </si>
  <si>
    <t>5) -</t>
  </si>
  <si>
    <t>PLANILHA DE ACORDO COM O DECRETO 92.100  DE 10 DE DEZEMBRO DE 1985. Práticas DASP e Portaria nº 2.296 do MARE DOU de 31 de julho de 1997.</t>
  </si>
  <si>
    <t>06.01.050.4</t>
  </si>
  <si>
    <t>06.01.050.5</t>
  </si>
  <si>
    <t>06.01.050.6</t>
  </si>
  <si>
    <t>06.01.050.7</t>
  </si>
  <si>
    <t>06.01.050.8</t>
  </si>
  <si>
    <t>06.01.050.9</t>
  </si>
  <si>
    <t>06.01.050.10</t>
  </si>
  <si>
    <t>06.01.050.11</t>
  </si>
  <si>
    <t>06.01.050.12</t>
  </si>
  <si>
    <t>Instalações Telefônicas</t>
  </si>
  <si>
    <t>Sistema de Cabeamento Estruturado - Rede de Lógica</t>
  </si>
  <si>
    <t>Ar Condicionado</t>
  </si>
  <si>
    <t>Câmara Fria</t>
  </si>
  <si>
    <t>08.01.500.1</t>
  </si>
  <si>
    <t>08.01.500.2</t>
  </si>
  <si>
    <t>08.01.500.3</t>
  </si>
  <si>
    <t>08.01.500.4</t>
  </si>
  <si>
    <t>08.01.500.5</t>
  </si>
  <si>
    <t>08.01.500.6</t>
  </si>
  <si>
    <t>08.01.500.7</t>
  </si>
  <si>
    <t>08.01.500.8</t>
  </si>
  <si>
    <t>08.01.500.9</t>
  </si>
  <si>
    <t>08.01.500.10</t>
  </si>
  <si>
    <t>08.01.500.11</t>
  </si>
  <si>
    <t>08.01.500.12</t>
  </si>
  <si>
    <t>08.01.500.13</t>
  </si>
  <si>
    <t>08.01.500.14</t>
  </si>
  <si>
    <t>08.01.500.15</t>
  </si>
  <si>
    <t>08.01.500.16</t>
  </si>
  <si>
    <t>08.01.500.17</t>
  </si>
  <si>
    <t>08.01.500.18</t>
  </si>
  <si>
    <t>08.01.500.19</t>
  </si>
  <si>
    <t>08.01.500.20</t>
  </si>
  <si>
    <t>08.01.500.21</t>
  </si>
  <si>
    <t>08.01.500.22</t>
  </si>
  <si>
    <t>08.01.500.23</t>
  </si>
  <si>
    <t>Extintor tipo a.b.c de 6 kg completo, com alça de parede e placa de sinalização do tipo de extintor CO2</t>
  </si>
  <si>
    <t>Vigilância e Segurança</t>
  </si>
  <si>
    <t>Acessórios p/ vaso de descarga ( tubo de ligação, ligação flexível em aço inox, parafusos de fixação, vedação e assento plástico)</t>
  </si>
  <si>
    <t>Pára-raios tipo Franklin</t>
  </si>
  <si>
    <t xml:space="preserve">Conjunto de equipamento para o hack, como especificado em projeto - 1 modem adsl de 2ghz, 2 patch painel com 24 portas, 3 guias, 1 bandeja de cabos de 5u, ponte de 220v para 110v, placa de cabos de força com 8 tomadas e hak de 19u com 19" de frete </t>
  </si>
  <si>
    <t>09.02.001.1</t>
  </si>
  <si>
    <t xml:space="preserve">Mestre  </t>
  </si>
  <si>
    <t>Limpeza geral da obra</t>
  </si>
  <si>
    <t>Tapume de chapa de madeira compensada</t>
  </si>
  <si>
    <t>03.01.103.1</t>
  </si>
  <si>
    <t>03.01.420.2</t>
  </si>
  <si>
    <t>Desforma de estruturas</t>
  </si>
  <si>
    <t>04.01.303.1</t>
  </si>
  <si>
    <t>04.01.303.2</t>
  </si>
  <si>
    <t>04.01.203.1</t>
  </si>
  <si>
    <t>04.01.230.1</t>
  </si>
  <si>
    <t>04.01.230.2</t>
  </si>
  <si>
    <t>04.01.230.3</t>
  </si>
  <si>
    <t>04.01.407.1</t>
  </si>
  <si>
    <t>04.01.415.1</t>
  </si>
  <si>
    <t>04.01.415.2</t>
  </si>
  <si>
    <t>05.04.000</t>
  </si>
  <si>
    <t>ESGOTOS SANITÁRIOS</t>
  </si>
  <si>
    <t>06.00.000</t>
  </si>
  <si>
    <t>INSTALAÇÕES ELÉTRICAS E ELETRÔNICAS</t>
  </si>
  <si>
    <t>06.01.000</t>
  </si>
  <si>
    <t>INSTALAÇÕES ELÉTRICAS</t>
  </si>
  <si>
    <t>06.09.000</t>
  </si>
  <si>
    <t>pç</t>
  </si>
  <si>
    <t>06.01.300.1</t>
  </si>
  <si>
    <t>06.01.300.2</t>
  </si>
  <si>
    <t>06.01.300.3</t>
  </si>
  <si>
    <t>06.01.300.4</t>
  </si>
  <si>
    <t>06.01.300.5</t>
  </si>
  <si>
    <t>06.01.300.34</t>
  </si>
  <si>
    <t>06.01.300.35</t>
  </si>
  <si>
    <t>06.01.300.36</t>
  </si>
  <si>
    <t>06.01.300.37</t>
  </si>
  <si>
    <t>alçapão visita cisterna pr5-2q-t 90x90cm cantoneira</t>
  </si>
  <si>
    <t>alçapão caixa d'água pr5-2q-t 90x125cm cantoneira</t>
  </si>
  <si>
    <t>Grama batatais em placas</t>
  </si>
  <si>
    <t>meio-fio de concreto pré-moldado,rejuntado c/argamassa de cimento e areia, traço 1:4</t>
  </si>
  <si>
    <t>Regularização de subleito, espessura = 15,0 cm, abrangendo escarificação, homogeneização, umedecimento e compactação.</t>
  </si>
  <si>
    <t>Execução de sub-base estabilizada granulometricamente, abrangendo espalhamento, homogeneização, umedecimento e compactação, teor de fornecimento (custo comercial do material de jazida)</t>
  </si>
  <si>
    <t>execução de imprimação mecânica com cm-30, taxa 1,2 l/m2</t>
  </si>
  <si>
    <t>SISTEMA DE GERAÇÃO DE PREÇOS DO BANCO NACIONAL DE INSUMO SINAPI - UGI:   4495 - BRASÍLIA ( inclusive descrição dos serviços )</t>
  </si>
  <si>
    <t>07.02.200</t>
  </si>
  <si>
    <t>Engenharia mecânico</t>
  </si>
  <si>
    <t>Encarregado de ar condicionado</t>
  </si>
  <si>
    <t>Balcão da recepção completo, conforme projetos e detalhes</t>
  </si>
  <si>
    <t>04.03.204</t>
  </si>
  <si>
    <t>Passarela com cobertura em chapa metálica auto portante,  inclusive pilares em estrutura de concreto armado, conforme projetos e detalhes de arquitetura</t>
  </si>
  <si>
    <t>Revestimentos de Forro</t>
  </si>
  <si>
    <t>Camada de Rolamento ( Asfalto )</t>
  </si>
  <si>
    <t>SERVIÇOS TÉCNICOS - PROFISSIONAIS</t>
  </si>
  <si>
    <t>conj.</t>
  </si>
  <si>
    <t>Condutor isolado unipolar com revestimento em PVC 0,6/1kv de 185mm²</t>
  </si>
  <si>
    <t>Condutor isolado unipolar com revestimento em PVC 0,6/1kv de 16mm²</t>
  </si>
  <si>
    <t>Cordoalha de cobre nu de 16mm²</t>
  </si>
  <si>
    <t>Caixa 4x2"</t>
  </si>
  <si>
    <t>Caixa de entrada de energia tipo B</t>
  </si>
  <si>
    <t>Caixa de entrada de cabos tipo TR</t>
  </si>
  <si>
    <t>Caixa de medidor trifásico tipo P4</t>
  </si>
  <si>
    <t>Haste de aterramento de 2,40m de comprimento de 15mm, com conector haste de aço revestida de cobre</t>
  </si>
  <si>
    <t>Abrigo de entrada com 2,40x2,00m com cobertura metálica, com porta de ferro de 80x210cm - pé direito de 2,60cm</t>
  </si>
  <si>
    <t xml:space="preserve">Leito de cabos e barras cobre nu </t>
  </si>
  <si>
    <t>Barras de cobre nu - 25x3mm</t>
  </si>
  <si>
    <t>Fita isolante de alta fusão</t>
  </si>
  <si>
    <t>Jogo de parafusos de fixação de barras e cabos, com contra porca e porca de aperto</t>
  </si>
  <si>
    <t>Fita de identificação de cor da barra, branco, preto e vermelho</t>
  </si>
  <si>
    <t>Fita isolante normal</t>
  </si>
  <si>
    <t>Anilhas de fixação de cabos de 2,5 a 4mm²</t>
  </si>
  <si>
    <t>Anilhas de fixação de cabos de 6 a 10mm²</t>
  </si>
  <si>
    <t>Anilhas de fixação de cabos de 16 a 25mm²</t>
  </si>
  <si>
    <t>Anilhas de fixação de cabos de 95mm²</t>
  </si>
  <si>
    <t>Anilhas de fixação de cabos de 185mm²</t>
  </si>
  <si>
    <t>Dispositivo DR para 60A</t>
  </si>
  <si>
    <t>Dispositivo DR para 50A</t>
  </si>
  <si>
    <t>Dispositivo DR para 30A</t>
  </si>
  <si>
    <t>Solda de baixa fusão</t>
  </si>
  <si>
    <t>Interruptor de seção simples</t>
  </si>
  <si>
    <t>Interruptor de seção paralelo</t>
  </si>
  <si>
    <t>Interruptor de seção intermediária</t>
  </si>
  <si>
    <t>Mesa de controle de iluminação para 12 pontos, com controle de intensidade e liga desliga</t>
  </si>
  <si>
    <t>Espelho para uma seção - 4x2"</t>
  </si>
  <si>
    <t>Espelho para duas seções - 4x2"</t>
  </si>
  <si>
    <t>Espelho para três seções - 4x2"</t>
  </si>
  <si>
    <t>Espelho para quatro seções - 4x2"</t>
  </si>
  <si>
    <t>Espelho com furo central - 4x2"</t>
  </si>
  <si>
    <t>Espelho para uma seção de tomada universal - 4x2"</t>
  </si>
  <si>
    <t>Espelho para uma seção de tomada para ar condicionado - 4x2"</t>
  </si>
  <si>
    <t>Espelho para duas seções de tomada para computador - 4x2"</t>
  </si>
  <si>
    <t>Tomada para computador cx. 4x2"</t>
  </si>
  <si>
    <t>Alvenaria 10cm tijolo  cerâmico furado 10x20x20cm cimento/saibro 1:8</t>
  </si>
  <si>
    <t>Alvenaria 20cm tijolo  cerâmico furado 10x20x20cm cimento/saibro 1:8</t>
  </si>
  <si>
    <t>Alvenaria em elemento vazado de concreto 7x50x50cm cimento/areia 1:4</t>
  </si>
  <si>
    <t>Divisória sanitária de granito e=3 cm assentada com argamassa no traço 1:3</t>
  </si>
  <si>
    <t>05.03.500.1</t>
  </si>
  <si>
    <t>05.03.500.2</t>
  </si>
  <si>
    <t>05.03.500.3</t>
  </si>
  <si>
    <t>05.03.500.4</t>
  </si>
  <si>
    <t>05.03.500.5</t>
  </si>
  <si>
    <t>05.03.500.6</t>
  </si>
  <si>
    <t>05.03.500.7</t>
  </si>
  <si>
    <t>05.03.500.8</t>
  </si>
  <si>
    <t>05.03.500.9</t>
  </si>
  <si>
    <t>05.03.500.10</t>
  </si>
  <si>
    <t>05.03.500.11</t>
  </si>
  <si>
    <t>05.03.500.12</t>
  </si>
  <si>
    <t>05.03.500.13</t>
  </si>
  <si>
    <t>05.03.500.14</t>
  </si>
  <si>
    <t>05.03.500.15</t>
  </si>
  <si>
    <t xml:space="preserve">Porta metálica ferro em veneziana chapa 18  80x210cm com ferragem e pintura </t>
  </si>
  <si>
    <t>Cobertura</t>
  </si>
  <si>
    <t>Cobertura com telha de aço autoportantes vão livre 40 metros marca Imasa ou similar</t>
  </si>
  <si>
    <t>Estruturas Metálicas</t>
  </si>
  <si>
    <t>Passarela em estrutura metálica</t>
  </si>
  <si>
    <t>Telhas Metálicas</t>
  </si>
  <si>
    <t>Peças Complementares</t>
  </si>
  <si>
    <t>06.01.300.76</t>
  </si>
  <si>
    <t>06.01.300.77</t>
  </si>
  <si>
    <t>Caixa d'água Superior</t>
  </si>
  <si>
    <t>Caixa d'água Inferior</t>
  </si>
  <si>
    <t>Locação de cabacinhas para lajes nervuradas</t>
  </si>
  <si>
    <t>un/mês</t>
  </si>
  <si>
    <t>Cimbramento tubular desmontável, para ponte ou viaduto, edificação civil e industrial, incluso montagem e desmontagem</t>
  </si>
  <si>
    <t>Tirantes de aço</t>
  </si>
  <si>
    <t>Juntas de dilatação em estrutura de concreto com uso de isopor</t>
  </si>
  <si>
    <t>03.02.430.1</t>
  </si>
  <si>
    <t>03.02.170.1</t>
  </si>
  <si>
    <t>03.02.172.1</t>
  </si>
  <si>
    <t>03.02.173.1</t>
  </si>
  <si>
    <t>03.02.171.1.1</t>
  </si>
  <si>
    <t>03.02.144.1</t>
  </si>
  <si>
    <t>03.02.131.2</t>
  </si>
  <si>
    <t>06.01.300.29</t>
  </si>
  <si>
    <t>06.01.300.30</t>
  </si>
  <si>
    <t>06.01.300.31</t>
  </si>
  <si>
    <t>06.01.300.32</t>
  </si>
  <si>
    <t>06.01.300.33</t>
  </si>
  <si>
    <t>Chapisco cimento e areia 1:4 esp=0,5cm ( uso interno ou externo)</t>
  </si>
  <si>
    <t>Revestimento mineral de fachadas em monocamada "monocapa" PRAL CLASSIC SE cor branca Quartzolit ou similar</t>
  </si>
  <si>
    <t>Piso em Carpete</t>
  </si>
  <si>
    <t>Piso em Madeira</t>
  </si>
  <si>
    <t>Piso em Granitina</t>
  </si>
  <si>
    <t>Piso em Pedra</t>
  </si>
  <si>
    <t>Revestimentos de Pisos</t>
  </si>
  <si>
    <t>Revestimentos de Paredes</t>
  </si>
  <si>
    <t>Forro de gesso acartonado fixo monolítico, suspensos por pendurais de arame galvanizado nº 18 painel, e=12,5 mm</t>
  </si>
  <si>
    <t>04.01.530.1</t>
  </si>
  <si>
    <t>Revestimentos em Argamassas</t>
  </si>
  <si>
    <t>Revestimentos em Argamassas Especiais</t>
  </si>
  <si>
    <t>04.01.546.1</t>
  </si>
  <si>
    <t>Revestimentos em Cerâmicos</t>
  </si>
  <si>
    <t>04.01.534.1</t>
  </si>
  <si>
    <t>Revestimento de Madeira em Paredes</t>
  </si>
  <si>
    <t>Revestimentos de Gesso</t>
  </si>
  <si>
    <t>04.01.555.1</t>
  </si>
  <si>
    <t>Emassamento interno 2 demãos c/massa corrida PVA em tetos</t>
  </si>
  <si>
    <t>Emassamento interno 2 demãos p/pintura acrílica em paredes</t>
  </si>
  <si>
    <t xml:space="preserve">Massa Corrida </t>
  </si>
  <si>
    <t>Tinta a Base de Látex</t>
  </si>
  <si>
    <t xml:space="preserve">Tinta Acrílica </t>
  </si>
  <si>
    <t>04.01.565.1</t>
  </si>
  <si>
    <t>04.01.566.1</t>
  </si>
  <si>
    <t>Silicone</t>
  </si>
  <si>
    <t>Regularização para impermeabilização em cimentado rústico e=3,0cm argamassa cim/areia 1:3 ( caixa de água inferior e superior )</t>
  </si>
  <si>
    <t>Argamassa com Adição de Hidrófugo</t>
  </si>
  <si>
    <t>04.01.602.1</t>
  </si>
  <si>
    <t>04.01.602.2</t>
  </si>
  <si>
    <t>Rodapé em granitina</t>
  </si>
  <si>
    <t>Piso em tabua corrida 10cm em ipê  (palco, camarim e depósito), inclusive rodapé em madeira ipê h= 7cm</t>
  </si>
  <si>
    <t>Piso em carpete Tabacow ou similar cor bege, espessura 4mm, colocado, inclusive rodapé em madeira ipê h=7cm</t>
  </si>
  <si>
    <t>Cantoneira de ferro de 1.1/2" x 1/8" esp. (brr 6m)</t>
  </si>
  <si>
    <t>barra</t>
  </si>
  <si>
    <t>04.01.227</t>
  </si>
  <si>
    <t>04.01.242</t>
  </si>
  <si>
    <t>04.01.301</t>
  </si>
  <si>
    <t>04.01.513</t>
  </si>
  <si>
    <t>04.01.517</t>
  </si>
  <si>
    <t>04.01.519</t>
  </si>
  <si>
    <t>04.01.523</t>
  </si>
  <si>
    <t>04.01.540</t>
  </si>
  <si>
    <t>04.01.546</t>
  </si>
  <si>
    <t>Estuque</t>
  </si>
  <si>
    <t>04.01.555</t>
  </si>
  <si>
    <t>04.01.565</t>
  </si>
  <si>
    <t>04.01.602</t>
  </si>
  <si>
    <t>04.01.800</t>
  </si>
  <si>
    <t>Equipamentos e Acessórios</t>
  </si>
  <si>
    <t>04.01.801</t>
  </si>
  <si>
    <t>04.01.803</t>
  </si>
  <si>
    <t>04.01.805</t>
  </si>
  <si>
    <t>04.03.000</t>
  </si>
  <si>
    <t>INTERIORES</t>
  </si>
  <si>
    <t>04.05.000</t>
  </si>
  <si>
    <t>PAVIMENTAÇÃO</t>
  </si>
  <si>
    <t>04.05.103</t>
  </si>
  <si>
    <t>Guias</t>
  </si>
  <si>
    <t>04.05.601</t>
  </si>
  <si>
    <t>02.01.102</t>
  </si>
  <si>
    <t>02.01.103</t>
  </si>
  <si>
    <t>02.01.104</t>
  </si>
  <si>
    <t>02.01.105</t>
  </si>
  <si>
    <t>02.04.000</t>
  </si>
  <si>
    <t>TERRAPLENAGEM</t>
  </si>
  <si>
    <t>02.04.100</t>
  </si>
  <si>
    <t>02.04.102</t>
  </si>
  <si>
    <t>02.04.201</t>
  </si>
  <si>
    <t>02.04.300</t>
  </si>
  <si>
    <t>03.01.460</t>
  </si>
  <si>
    <t>Tubulões com escavação mecanizada (perfuratriz)</t>
  </si>
  <si>
    <t>03.01.461</t>
  </si>
  <si>
    <t>03.01.462</t>
  </si>
  <si>
    <t>Pilares</t>
  </si>
  <si>
    <t>03.02.120</t>
  </si>
  <si>
    <t>03.02.121</t>
  </si>
  <si>
    <t>03.02.122</t>
  </si>
  <si>
    <t>03.02.123</t>
  </si>
  <si>
    <t>03.02.130</t>
  </si>
  <si>
    <t>03.02.131</t>
  </si>
  <si>
    <t>03.02.132</t>
  </si>
  <si>
    <t>03.02.133</t>
  </si>
  <si>
    <t>03.02.144</t>
  </si>
  <si>
    <t xml:space="preserve">m  </t>
  </si>
  <si>
    <t>03.02.170</t>
  </si>
  <si>
    <t>03.02.171</t>
  </si>
  <si>
    <t>03.02.172</t>
  </si>
  <si>
    <t>03.02.173</t>
  </si>
  <si>
    <t>04.01.511.2</t>
  </si>
  <si>
    <t>04.01.513.1</t>
  </si>
  <si>
    <t>04.01.513.2</t>
  </si>
  <si>
    <t>04.01.517.1</t>
  </si>
  <si>
    <t>Piso pedra portuguesa vermelha assentada em base de 1:5 cimento  e saibro inclusive acerto do terreno.</t>
  </si>
  <si>
    <t>Piso pedra portuguesa c/desenho 60% branco 40% preto assentada em base 1:5 cimento e saibro inclusive acerto do terreno.</t>
  </si>
  <si>
    <t>Contrapiso/lastro concreto 1:2,5:5 c/betoneira e=7cm</t>
  </si>
  <si>
    <t>Contrapiso e= 4cm argamassa cimento/areia 1:3</t>
  </si>
  <si>
    <t>04.01.523.1</t>
  </si>
  <si>
    <t>04.01.519.1</t>
  </si>
  <si>
    <t>04.01.407.2</t>
  </si>
  <si>
    <t>04.01.519.2</t>
  </si>
  <si>
    <t>Tablado elevado em estrutura de madeira para  tabua corrida ( palco, camarim e depósito)</t>
  </si>
  <si>
    <t>Difusor linear de alumínio anodizado na côr natural, Ref. TROX, Modelo ADE-1AG-1025 x 4 Ab.(188mm), com registro</t>
  </si>
  <si>
    <t>Ìdem, ADE-1AG-1500 x 4 Ab.(188mm)</t>
  </si>
  <si>
    <t>Fornecimento e assentamento de  tubo PVC soldável marrom dn 25mm, inclusive  conexões</t>
  </si>
  <si>
    <t>Fornecimento e assentamento de  tubo PVC soldável marrom dn 20mm, inclusive  conexões</t>
  </si>
  <si>
    <t>Tubo isolante de borracha esponjosa diâm.5/8”x 2 metros</t>
  </si>
  <si>
    <t>04.01.702</t>
  </si>
  <si>
    <t>04.02.000</t>
  </si>
  <si>
    <t>COMUNICAÇÃO VISUAL</t>
  </si>
  <si>
    <t>04.02.100</t>
  </si>
  <si>
    <t>Aplicações e Equipamentos</t>
  </si>
  <si>
    <t>04.02.102</t>
  </si>
  <si>
    <t>04.04.000</t>
  </si>
  <si>
    <t>08.00.000</t>
  </si>
  <si>
    <t>08.01.000</t>
  </si>
  <si>
    <t>08.01.500</t>
  </si>
  <si>
    <t>09.00.000</t>
  </si>
  <si>
    <t>SERVIÇOS COMPLEMENTARES</t>
  </si>
  <si>
    <t>09.01.000</t>
  </si>
  <si>
    <t>ENSAIOS E TESTES</t>
  </si>
  <si>
    <t>09.01.200</t>
  </si>
  <si>
    <t>Testes</t>
  </si>
  <si>
    <t>09.01.201</t>
  </si>
  <si>
    <t>09.02.000</t>
  </si>
  <si>
    <t xml:space="preserve">LIMPEZA DE OBRAS </t>
  </si>
  <si>
    <t>09.02.001</t>
  </si>
  <si>
    <t>09.04.000</t>
  </si>
  <si>
    <t>peça</t>
  </si>
  <si>
    <t>Ligações provisórias água/esg cant obra c/escav excl reparo pavim logradouro publico e ligação da concessionária</t>
  </si>
  <si>
    <t>Instal/ligação provisória elétrica baixa tensão p/cant obra obra,m3-chave 100a carga 3kwh,20cv excl forn medidor</t>
  </si>
  <si>
    <t>Pintura hidrocor 2 demãos ( em tapume )</t>
  </si>
  <si>
    <t>Blocos</t>
  </si>
  <si>
    <t>03.01.500</t>
  </si>
  <si>
    <t>03.01.504</t>
  </si>
  <si>
    <t>03.01.503</t>
  </si>
  <si>
    <t>03.01.503.1</t>
  </si>
  <si>
    <t>03.02.502</t>
  </si>
  <si>
    <t>03.02.502.1</t>
  </si>
  <si>
    <t>05.01.200.6</t>
  </si>
  <si>
    <t>06.01.300.10</t>
  </si>
  <si>
    <t>06.01.300.11</t>
  </si>
  <si>
    <t>06.01.300.22</t>
  </si>
  <si>
    <t>06.01.300.23</t>
  </si>
  <si>
    <t>06.01.300.24</t>
  </si>
  <si>
    <t>06.01.300.25</t>
  </si>
  <si>
    <t>06.01.300.26</t>
  </si>
  <si>
    <t>06.01.300.27</t>
  </si>
  <si>
    <t>06.01.300.28</t>
  </si>
  <si>
    <t>04.05.601.1</t>
  </si>
  <si>
    <t>04.05.601.2</t>
  </si>
  <si>
    <t>04.05.601.3</t>
  </si>
  <si>
    <t>04.05.601.4</t>
  </si>
  <si>
    <t>Revestimento CBUQ  h= 4cm executado em 1 camada  conforme DER, não incluso transporte da usina para a pista.</t>
  </si>
  <si>
    <t>04.05.103.1</t>
  </si>
  <si>
    <t>Limpeza permanente da obra, retirada, carga e transporte de entulhos</t>
  </si>
  <si>
    <t>vg</t>
  </si>
  <si>
    <t>Corte com remoção e bota-fora mecânico, d.m.t. = 10,0 km</t>
  </si>
  <si>
    <t>Aterro interno (edificações) compactado manualmente</t>
  </si>
  <si>
    <t>Concreto bombeado 15mpa inclusive concreto,  importação, usinagem, colocação, espalhamento, adensamento mecânico e acabamento.</t>
  </si>
  <si>
    <t>Armação aço CA-50/CA-60 p/fundacao</t>
  </si>
  <si>
    <t>Forma de madeira comum para fundação</t>
  </si>
  <si>
    <t>Concreto bombeado 30mpa inclusive concreto, importação, usinagem, colocação, espalhamento, adensamento mecânico e acabamento.</t>
  </si>
  <si>
    <t>armação aço ca-50/ca-60 p/estrutura</t>
  </si>
  <si>
    <t>Esquadria alumínio correr s/bandeira para vidro c/ferragens dimensões   3,67   x  1,55  metros   tipo    E1</t>
  </si>
  <si>
    <t>Esquadria alumínio correr s/bandeira para vidro c/ferragens dimensões   0,97   x  1  metros   tipo    E2</t>
  </si>
  <si>
    <t>Esquadria alumínio correr s/bandeira para vidro c/ferragens dimensões   4,8   x  1,55  metros   tipo    E3</t>
  </si>
  <si>
    <t>Esquadria alumínio correr s/bandeira para vidro c/ferragens dimensões   3,67   x  0,4  metros   tipo    E4</t>
  </si>
  <si>
    <t>Esquadria alumínio correr s/bandeira para vidro c/ferragens dimensões   2,25   x  1  metros   tipo    E8</t>
  </si>
  <si>
    <t>Esquadria alumínio correr s/bandeira para vidro c/ferragens dimensões   7   x  0,4  metros   tipo    E9</t>
  </si>
  <si>
    <t>Esquadria alumínio correr s/bandeira para vidro c/ferragens dimensões   1,27   x  1,55  metros   tipo    E10</t>
  </si>
  <si>
    <t>Esquadria alumínio correr s/bandeira para vidro c/ferragens dimensões   2,7   x  2,4  metros   tipo    E11</t>
  </si>
  <si>
    <t>Esquadria alumínio correr s/bandeira para vidro c/ferragens dimensões   2,4   x  0,4  metros   tipo    E12</t>
  </si>
  <si>
    <t>06.01.300.6</t>
  </si>
  <si>
    <t>06.01.300.7</t>
  </si>
  <si>
    <t>MÊS</t>
  </si>
  <si>
    <t>Calha em chapa galvanizada num 24</t>
  </si>
  <si>
    <t>Rufo em chapa galvanizada num 24 l=25 cm</t>
  </si>
  <si>
    <t>04.01.511.1</t>
  </si>
  <si>
    <t>Chapisco cim/areia 1:4 esp=0,5cm (interno e externo)</t>
  </si>
  <si>
    <t>04.01.551.1</t>
  </si>
  <si>
    <t>04.01.551.2</t>
  </si>
  <si>
    <t>04.01.561.1</t>
  </si>
  <si>
    <t>04.01.561.2</t>
  </si>
  <si>
    <t>Vernizes</t>
  </si>
  <si>
    <t>04.01.576.1</t>
  </si>
  <si>
    <t>04.01.569.1</t>
  </si>
  <si>
    <t>CUSTO TOTAL</t>
  </si>
  <si>
    <t>R$ (AxB) (C)</t>
  </si>
  <si>
    <t>02.01.401.1</t>
  </si>
  <si>
    <t>02.01.404</t>
  </si>
  <si>
    <t>Placa de obra - aquisição e assentamento</t>
  </si>
  <si>
    <t>Barracão obra madeira incl instalações hidro-sanitarias e elétricas ( Escritórios )</t>
  </si>
  <si>
    <t>Barracão p/ deposito em tabuas, c/ piso em argamassa de cimento/areia traço 1:6. ( Depósitos )</t>
  </si>
  <si>
    <t>Barracão obra madeira incl instalações hidro-sanitarias e elétricas ( Oficinas )</t>
  </si>
  <si>
    <t>Barracão obra madeira incl instalações hidro-sanitarias e elétricas ( Refeitório )</t>
  </si>
  <si>
    <t>Barracão em tabuas, c/ piso em argamassa de cimento/areia traço 1:6. ( Vestiários e sanitários )</t>
  </si>
  <si>
    <t>Engenheiro residente</t>
  </si>
  <si>
    <t>06.02.000</t>
  </si>
  <si>
    <t>Locação de Obras</t>
  </si>
  <si>
    <t>ml</t>
  </si>
  <si>
    <t>Ajudante</t>
  </si>
  <si>
    <t>03.02.131.1</t>
  </si>
  <si>
    <t>03.02.171.1</t>
  </si>
  <si>
    <t xml:space="preserve">Armação aço ca-50/ca-60 p/fundacao direta </t>
  </si>
  <si>
    <t>Armação aço ca-50/ca-60 p/fundacao direta</t>
  </si>
  <si>
    <t>Lajes e Escadas</t>
  </si>
  <si>
    <t>unid</t>
  </si>
  <si>
    <t>05.03.500.16</t>
  </si>
  <si>
    <t>05.03.500.17</t>
  </si>
  <si>
    <t>Ídem, ADE-1AG-1600 x 4 Ab. (188mm)</t>
  </si>
  <si>
    <t>Chapa galvanizada bitola 24</t>
  </si>
  <si>
    <t>Kg</t>
  </si>
  <si>
    <t>Chapa galvanizada bitola 22</t>
  </si>
  <si>
    <t>Chapa galvanizada bitola 20</t>
  </si>
  <si>
    <t>Manta de lã de vidro ISOFLEX  RT 1.0 c/38mm de espessura, revestida com papel aluminizado.</t>
  </si>
  <si>
    <t>Fita adesiva aluminizada tendo 50mm largura x   50 m de comprimento.</t>
  </si>
  <si>
    <t>Lona impermeável p/ conexão flexível</t>
  </si>
  <si>
    <t>Ml</t>
  </si>
  <si>
    <t>Bisnaga de SIKAFLEX 310 gr</t>
  </si>
  <si>
    <t xml:space="preserve">Chumbador CB Walsilva de 1/4" x 2" completo </t>
  </si>
  <si>
    <t>Parafuso autoatarrachante cabeça panela, 4,2 x 25mm</t>
  </si>
  <si>
    <t>cento</t>
  </si>
  <si>
    <t xml:space="preserve">Parafuso sextavado diâm. 1/4" x 3/4" com porca e arruela lisa.  </t>
  </si>
  <si>
    <t xml:space="preserve">Arrebite pop 3,2 x 10mm </t>
  </si>
  <si>
    <t xml:space="preserve">cento </t>
  </si>
  <si>
    <t>05.03.500.18</t>
  </si>
  <si>
    <t>05.03.500.19</t>
  </si>
  <si>
    <t>Caixa sifonada em pvc 150x150x50mm</t>
  </si>
  <si>
    <t>m²</t>
  </si>
  <si>
    <t>Não fazem parte deste orçamento o fornecimento de mobiliário, armários, poltronas de auditório,</t>
  </si>
  <si>
    <t>Área de Construção :   2.404.47 m2</t>
  </si>
  <si>
    <t>Escavação manual de vala em terra ate 2 m ( blocos e cintas )</t>
  </si>
  <si>
    <t>Limpeza manual do terreno com raspagem superficial</t>
  </si>
  <si>
    <t>Destocamento de árvore de grande porte</t>
  </si>
  <si>
    <t xml:space="preserve">Escavação mecânica de tubulão com uso de perfuratriz # 60cm </t>
  </si>
  <si>
    <t>Subtotal</t>
  </si>
  <si>
    <t>Forma plana em compensado resinado 12mm p/ concretagem de estruturas</t>
  </si>
  <si>
    <t>Forma curva para estruturas em tabua de pinho</t>
  </si>
  <si>
    <t>Cintas</t>
  </si>
  <si>
    <t>03.01.550</t>
  </si>
  <si>
    <t>03.02.551</t>
  </si>
  <si>
    <t>03.02.552</t>
  </si>
  <si>
    <t>03.02.553</t>
  </si>
  <si>
    <t>03.02.554</t>
  </si>
  <si>
    <t>03.02.555</t>
  </si>
  <si>
    <t xml:space="preserve">Vigas </t>
  </si>
  <si>
    <t>03.02.430</t>
  </si>
  <si>
    <t>Juntas de Dilatação</t>
  </si>
  <si>
    <t>03.03.000</t>
  </si>
  <si>
    <t>03.03.100</t>
  </si>
  <si>
    <t>04.01.113</t>
  </si>
  <si>
    <t>04.01.120</t>
  </si>
  <si>
    <t>03.02.121.1</t>
  </si>
  <si>
    <t>Aparelhos e Acessórios Sanitários</t>
  </si>
  <si>
    <t>Testes de máquinas e equipamentos</t>
  </si>
  <si>
    <t>Limpeza</t>
  </si>
  <si>
    <t>PREÇO TOTAL GERAL</t>
  </si>
  <si>
    <t>INSTALAÇÕES DE PREVENÇÃO A INCÊNDIO E SPDA</t>
  </si>
  <si>
    <t>Locação de obra (edifícios) c/gabarito tabua continua 15cm e pontalete 3x3" a cada 1,5m</t>
  </si>
  <si>
    <t>Técnico  de Edificações</t>
  </si>
  <si>
    <t xml:space="preserve"> </t>
  </si>
  <si>
    <t>04.01.601.1</t>
  </si>
  <si>
    <t>04.01.601.2</t>
  </si>
  <si>
    <t>Soleira em granito nacional  e=3cm largura 15cm</t>
  </si>
  <si>
    <t>Verniz brilhante poliuretanico esquadrias de madeira</t>
  </si>
  <si>
    <t>Placas e Sinalizações Internas</t>
  </si>
  <si>
    <t>04.04.300.2</t>
  </si>
  <si>
    <t>05.01.200.1</t>
  </si>
  <si>
    <t>05.01.200.2</t>
  </si>
  <si>
    <t>05.01.200.3</t>
  </si>
  <si>
    <t>05.01.200.4</t>
  </si>
  <si>
    <t>05.01.200.5</t>
  </si>
  <si>
    <t>05.01.500.1</t>
  </si>
  <si>
    <t>05.04.300.1</t>
  </si>
  <si>
    <t>05.01.500.2</t>
  </si>
  <si>
    <t>05.01.500.3</t>
  </si>
  <si>
    <t>05.01.500.4</t>
  </si>
  <si>
    <t>05.01.500.5</t>
  </si>
  <si>
    <t>05.01.500.6</t>
  </si>
  <si>
    <t>05.01.500.7</t>
  </si>
  <si>
    <t>05.01.500.8</t>
  </si>
  <si>
    <t>05.01.500.9</t>
  </si>
  <si>
    <t>05.01.500.10</t>
  </si>
  <si>
    <t>05.01.500.11</t>
  </si>
  <si>
    <t>05.01.500.12</t>
  </si>
  <si>
    <t>05.01.500.13</t>
  </si>
  <si>
    <t>05.04.300.2</t>
  </si>
  <si>
    <t>05.04.300.3</t>
  </si>
  <si>
    <t>05.04.300.4</t>
  </si>
  <si>
    <t>05.04.300.5</t>
  </si>
  <si>
    <t>05.04.300.6</t>
  </si>
  <si>
    <t>05.04.300.7</t>
  </si>
  <si>
    <t>05.04.300.8</t>
  </si>
  <si>
    <t>Lançamento manual de concreto em fundações/lastros, incl.vibração</t>
  </si>
  <si>
    <t>06.01.300.8</t>
  </si>
  <si>
    <t>06.01.300.9</t>
  </si>
  <si>
    <t>06.01.300.12</t>
  </si>
  <si>
    <t>06.01.300.13</t>
  </si>
  <si>
    <t>06.01.300.14</t>
  </si>
  <si>
    <t>06.01.300.15</t>
  </si>
  <si>
    <t>06.01.300.16</t>
  </si>
  <si>
    <t>06.01.300.17</t>
  </si>
  <si>
    <t>06.01.300.18</t>
  </si>
  <si>
    <t>06.01.300.19</t>
  </si>
  <si>
    <t>06.01.300.20</t>
  </si>
  <si>
    <t>06.01.300.21</t>
  </si>
  <si>
    <t>OBRA:</t>
  </si>
  <si>
    <t>LOCAL:</t>
  </si>
  <si>
    <t>6) -</t>
  </si>
  <si>
    <t>7) -</t>
  </si>
  <si>
    <t xml:space="preserve">Fonte de Preço Banco Nacional SINAPI </t>
  </si>
  <si>
    <t>03.02.000</t>
  </si>
  <si>
    <t>ESTRUTURAS DE CONCRETO</t>
  </si>
  <si>
    <t>03.02.100</t>
  </si>
  <si>
    <t>Concreto Armado</t>
  </si>
  <si>
    <t>03.02.110</t>
  </si>
  <si>
    <t>03.02.112</t>
  </si>
  <si>
    <t>03.02.113</t>
  </si>
  <si>
    <t>04.00.000</t>
  </si>
  <si>
    <t>ARQUITETURA E ELEMENTOS DE URBANISMO</t>
  </si>
  <si>
    <t>04.01.000</t>
  </si>
  <si>
    <t>ARQUITETURA</t>
  </si>
  <si>
    <t>04.01.100</t>
  </si>
  <si>
    <t>Paredes</t>
  </si>
  <si>
    <t>Observação :</t>
  </si>
  <si>
    <t>1) -</t>
  </si>
  <si>
    <t>2) -</t>
  </si>
  <si>
    <t>3) -</t>
  </si>
  <si>
    <t>prazo da obra: 10 meses</t>
  </si>
  <si>
    <t>PREÇO PARCIAL</t>
  </si>
  <si>
    <t>B.D.I  E IMPOSTOS  20%</t>
  </si>
  <si>
    <t>Garrafa descartável de gás R22 com 13,6 Kg</t>
  </si>
  <si>
    <t>Tubo isolante de borracha esponjosa diâm.3/4”x 2 metros</t>
  </si>
  <si>
    <t>Fita Armaflex para isolamento em borracha esponjosa.</t>
  </si>
  <si>
    <t>Revestimento acústico Sonic wave, côr grafite 50/10 ou similar, aplicado com cola especial para o produto e dando acabamento perfeito  e homogêneo das paredes e teto da casa de máquinas. Densidade mínima de 33Kg/m3.</t>
  </si>
  <si>
    <t>Adesivo para placas acústicas (bisnagas 300gr) para colagem de 3m2, SONITEC ou similar.</t>
  </si>
  <si>
    <t>h/h</t>
  </si>
  <si>
    <t>Oficial Mecânico de Refrigeração</t>
  </si>
  <si>
    <t>Oficial Duteiro</t>
  </si>
  <si>
    <t>Oficial eletricista</t>
  </si>
  <si>
    <t xml:space="preserve">Oficial isolador </t>
  </si>
  <si>
    <t xml:space="preserve">Ajudante </t>
  </si>
  <si>
    <t>07.02.200.1</t>
  </si>
  <si>
    <t>07.02.200.2</t>
  </si>
  <si>
    <t>07.02.500.1</t>
  </si>
  <si>
    <t>07.02.500.2</t>
  </si>
  <si>
    <t>07.02.500.3</t>
  </si>
  <si>
    <t>07.02.500.4</t>
  </si>
  <si>
    <t>07.02.500.5</t>
  </si>
  <si>
    <t>07.02.500.6</t>
  </si>
  <si>
    <t>07.02.500.7</t>
  </si>
  <si>
    <t>07.02.500.8</t>
  </si>
  <si>
    <t>07.02.500.9</t>
  </si>
  <si>
    <t>07.02.500.10</t>
  </si>
  <si>
    <t>07.02.500.11</t>
  </si>
  <si>
    <t>07.02.500.12</t>
  </si>
  <si>
    <t>07.02.500.13</t>
  </si>
  <si>
    <t>07.02.500.14</t>
  </si>
  <si>
    <t>07.02.500.15</t>
  </si>
  <si>
    <t>07.02.500.16</t>
  </si>
  <si>
    <t>07.02.500.17</t>
  </si>
  <si>
    <t>07.02.500.18</t>
  </si>
  <si>
    <t>07.02.500.19</t>
  </si>
  <si>
    <t>07.02.500.20</t>
  </si>
  <si>
    <t>07.02.500.21</t>
  </si>
  <si>
    <t>07.02.500.22</t>
  </si>
  <si>
    <t>07.02.500.23</t>
  </si>
  <si>
    <t>07.02.500.24</t>
  </si>
  <si>
    <t>07.02.500.25</t>
  </si>
  <si>
    <t>07.02.500.26</t>
  </si>
  <si>
    <t>07.02.500.27</t>
  </si>
  <si>
    <t>07.02.500.28</t>
  </si>
  <si>
    <t>07.02.500.29</t>
  </si>
  <si>
    <t>07.02.500.30</t>
  </si>
  <si>
    <t>07.02.500.31</t>
  </si>
  <si>
    <t>07.02.500.32</t>
  </si>
  <si>
    <t>07.02.500.33</t>
  </si>
  <si>
    <t>07.02.500.34</t>
  </si>
  <si>
    <t>07.02.500.35</t>
  </si>
  <si>
    <t>07.02.500.36</t>
  </si>
  <si>
    <t>07.02.500.37</t>
  </si>
  <si>
    <t>07.02.500.38</t>
  </si>
  <si>
    <t>07.02.500.39</t>
  </si>
  <si>
    <t>07.02.500.40</t>
  </si>
  <si>
    <t>07.02.500.41</t>
  </si>
  <si>
    <t>07.02.500.42</t>
  </si>
  <si>
    <t>07.02.500.43</t>
  </si>
  <si>
    <t>07.02.500.44</t>
  </si>
  <si>
    <t>07.02.500.45</t>
  </si>
  <si>
    <t>07.02.500.46</t>
  </si>
  <si>
    <t>07.02.500.47</t>
  </si>
  <si>
    <t>07.02.500.48</t>
  </si>
  <si>
    <t>07.02.500.49</t>
  </si>
  <si>
    <t>07.02.500.50</t>
  </si>
  <si>
    <t>07.02.500.51</t>
  </si>
  <si>
    <t>07.02.500.52</t>
  </si>
  <si>
    <t>07.02.500.53</t>
  </si>
  <si>
    <t>07.02.500.54</t>
  </si>
  <si>
    <t>07.02.500.55</t>
  </si>
  <si>
    <t>07.02.500.56</t>
  </si>
  <si>
    <t>07.02.500.57</t>
  </si>
  <si>
    <t>07.02.500.58</t>
  </si>
  <si>
    <t>07.02.500.59</t>
  </si>
  <si>
    <t>07.02.500.60</t>
  </si>
  <si>
    <t>Porca cônica para refrigeração diâm. 7/8"OD</t>
  </si>
  <si>
    <t>Porca cônica para refrigeração diâm. 3/4"OD</t>
  </si>
  <si>
    <t>Porca cônica para refrigeração diâm. 5/8"OD</t>
  </si>
  <si>
    <t xml:space="preserve">Filtro secador diâm. 3/8" ref. DANFOSS DML163 ou similar, próprio p/ R134a </t>
  </si>
  <si>
    <t xml:space="preserve">Visor líquido diâm. 5/8" mod. ref. DANFOSS SGN 16 ou similar, próprio p/ R134a </t>
  </si>
  <si>
    <t>Válvula solenoide, diâm. 5/8", ref. DANFOSS EVR 10 5/8"S</t>
  </si>
  <si>
    <t>Termostato controlador eletrônico EKC 201 C/DEG-Vent</t>
  </si>
  <si>
    <t>Transformador 230/12V p/EKC 201</t>
  </si>
  <si>
    <t>Pressostato de alta (8 a 28 Kpa) e baixa (-0,2 a 7,5 Kpa) dif.P 0,7 a 4 com rearme manual, contatos SPDT, ref. DANFOSS KP15</t>
  </si>
  <si>
    <t>Separador de óleo          S-51B5</t>
  </si>
  <si>
    <t xml:space="preserve">Visor líquido SGI 10 3/8"R, próprio p/ R134A </t>
  </si>
  <si>
    <t>Painel de poliuretano injetado c/ 100mm de espessura, revestido de chapa Galv. # 20 de um lado e de aço  INOX #20, na face aparente.</t>
  </si>
  <si>
    <t xml:space="preserve">Estrado de poliuretano para piso, módulos 243x120x17 cm de esp.,  cor branca  </t>
  </si>
  <si>
    <t>Placas de poliuretano com revestimento de chapa galv #20 de um lado e aço inox #20 na face aparente para  teto espessura de 100mm.</t>
  </si>
  <si>
    <t>Placas de poliuretano (duas camadas sobrepostas) para piso (50mm) com alfalto, primer, etc...</t>
  </si>
  <si>
    <t>Preparação do piso e acabamento em concretina</t>
  </si>
  <si>
    <t>Porta de câmara frigorífica, giratória, Esp 100mm em poliuretano, dimensão de  0,80 x 2,00 m</t>
  </si>
  <si>
    <t>Porta de correr com revest. aço inox, isol. poliuretano 40mm, guias puxadores, etc..</t>
  </si>
  <si>
    <t>Tubos flexíveis de cobre de 3/8 a 7/8"OD.</t>
  </si>
  <si>
    <t xml:space="preserve">Tubos isolantes </t>
  </si>
  <si>
    <t>Quadro elétrico geral p/ 5 câmaras frigoríficas c/ degelo elétrico temporizado</t>
  </si>
  <si>
    <t>Gás refrigerante R134a garrafa com 13,6 KG</t>
  </si>
  <si>
    <t>Nitrogênio super seco</t>
  </si>
  <si>
    <t>Oficial Eletricista</t>
  </si>
  <si>
    <t>06.09.000.4</t>
  </si>
  <si>
    <t>06.09.000.5</t>
  </si>
  <si>
    <t>06.09.000.6</t>
  </si>
  <si>
    <t>06.09.000.7</t>
  </si>
  <si>
    <t>06.09.000.8</t>
  </si>
  <si>
    <t>07.04.623</t>
  </si>
  <si>
    <t>07.04.625</t>
  </si>
  <si>
    <t>07.04.629</t>
  </si>
  <si>
    <t>Preparo de mufla para caixa de 1100mm</t>
  </si>
  <si>
    <t>Grelha de ferro de 20x100cm para ralo de limpeza e lavação</t>
  </si>
  <si>
    <t>Escavação de vala ou cava com profundidade até 1,50m sem escoramento</t>
  </si>
  <si>
    <t>Escavação de vala ou cava com profundidade entre 1,50m e 3,00m com escoramento lateral</t>
  </si>
  <si>
    <t>Assentamento de tubo ou manilha em vala ou cava, com profundidade até 1,50m, com leito de tubo e recobrimento compactado até o meio.</t>
  </si>
  <si>
    <t>Assentamento de tubo ou manilha em vala ou cava, com profundidade entre 1,50m e 3,00m, com leito de tubo e recobrimento compactado até o meio.</t>
  </si>
  <si>
    <t>Reaterro e compactação de vala ou cava com profundidade até 1,50m</t>
  </si>
  <si>
    <t>Reaterro e compactação de vala ou cava com profundidade entre 1,50m e 3,00m</t>
  </si>
  <si>
    <t>Registro globo de 2.1/2"</t>
  </si>
  <si>
    <t>Adaptador com rosca macho para engate de mangueira de 2.1/2"</t>
  </si>
  <si>
    <t>Tampão de ferro t16 pesado com inscrição de hidrante de passeio</t>
  </si>
  <si>
    <t xml:space="preserve">COMO CONSTRUÍDO ("AS BUILT") </t>
  </si>
  <si>
    <t>10.00.000</t>
  </si>
  <si>
    <t>SERVIÇOS AUXILIARES E ADMINISTRATIVOS</t>
  </si>
  <si>
    <t>10.01.000</t>
  </si>
  <si>
    <t>PESSOAL</t>
  </si>
  <si>
    <t>10.01.100</t>
  </si>
  <si>
    <t>Mão-de-Obra</t>
  </si>
  <si>
    <t xml:space="preserve">mês  </t>
  </si>
  <si>
    <t>10.01.201</t>
  </si>
  <si>
    <t>10.01.202</t>
  </si>
  <si>
    <t xml:space="preserve"> DESCRIÇÃO DOS SERVIÇOS</t>
  </si>
  <si>
    <t xml:space="preserve"> ITEM </t>
  </si>
  <si>
    <t>QUANTIDADE</t>
  </si>
  <si>
    <t>PREÇO UNITÁRIO</t>
  </si>
  <si>
    <t>PREÇO TOTAL</t>
  </si>
  <si>
    <t>m2</t>
  </si>
  <si>
    <t>m3</t>
  </si>
  <si>
    <t>kg</t>
  </si>
  <si>
    <t>m</t>
  </si>
  <si>
    <t>un</t>
  </si>
  <si>
    <t>cj</t>
  </si>
  <si>
    <t>%</t>
  </si>
  <si>
    <t>UN</t>
  </si>
  <si>
    <t>01.00.000</t>
  </si>
  <si>
    <t/>
  </si>
  <si>
    <t>01.02.103</t>
  </si>
  <si>
    <t>02.00.000</t>
  </si>
  <si>
    <t>SERVIÇOS PRELIMINARES</t>
  </si>
  <si>
    <t>02.01.000</t>
  </si>
  <si>
    <t>CANTEIRO DE OBRAS</t>
  </si>
  <si>
    <t>02.01.100</t>
  </si>
  <si>
    <t>Construções Provisórias</t>
  </si>
  <si>
    <t>02.01.101</t>
  </si>
  <si>
    <t>02.01.200</t>
  </si>
  <si>
    <t>Ligações Provisórias</t>
  </si>
  <si>
    <t>02.01.201</t>
  </si>
  <si>
    <t>02.01.202</t>
  </si>
  <si>
    <t>02.01.400</t>
  </si>
  <si>
    <t>Proteção e Sinalização</t>
  </si>
  <si>
    <t>02.01.401</t>
  </si>
  <si>
    <t xml:space="preserve">  </t>
  </si>
  <si>
    <t>02.03.000</t>
  </si>
  <si>
    <t>02.03.100</t>
  </si>
  <si>
    <t>03.00.000</t>
  </si>
  <si>
    <t>FUNDAÇÕES E ESTRUTURAS</t>
  </si>
  <si>
    <t>03.01.000</t>
  </si>
  <si>
    <t xml:space="preserve">Reaterro compactado </t>
  </si>
  <si>
    <t>R$</t>
  </si>
  <si>
    <t xml:space="preserve">PARCELA </t>
  </si>
  <si>
    <t>VALORES ACUMULADDOS</t>
  </si>
  <si>
    <t>PERCENTURAL EM RELAÇÃO AO TOTAL</t>
  </si>
  <si>
    <t>PERCENTUAL ACUMULADO</t>
  </si>
  <si>
    <t xml:space="preserve">   </t>
  </si>
  <si>
    <t>PREÇO POR M2:</t>
  </si>
  <si>
    <t>Tomada para ar condicionado cx.4x2"</t>
  </si>
  <si>
    <t>Tomada simples universal cx. 4x2"</t>
  </si>
  <si>
    <t>Canaleta de encaixe para cabos subterrâneos de 185mm² - com 4 furos - cerâmica vidrátil</t>
  </si>
  <si>
    <t>Corte e recomposição de parede de tijolo furado</t>
  </si>
  <si>
    <t>Disjuntor monofásico de 10 a 25A</t>
  </si>
  <si>
    <t>Disjuntor trifásico de 25 a 60A</t>
  </si>
  <si>
    <t>Disjuntor a óleo trifásico de 300A</t>
  </si>
  <si>
    <t>Canaleta de águas pluviais com seção média de 30cm por 1,00m</t>
  </si>
  <si>
    <t>Placas de concreto pré-moldada de 30x50cm - sega</t>
  </si>
  <si>
    <t>Grelha de perfil em T de 1"x1/8" com 30x150cm</t>
  </si>
  <si>
    <t>Ralo abacaxi de pvc da tigre para calhas de telhado</t>
  </si>
  <si>
    <t>Tubo de queda de calhas de águas pluviais PVC # 100mm</t>
  </si>
  <si>
    <t>05.03.500.20</t>
  </si>
  <si>
    <t>05.03.500.21</t>
  </si>
  <si>
    <t>05.03.500.22</t>
  </si>
  <si>
    <t>05.03.500.23</t>
  </si>
  <si>
    <t>05.03.500.24</t>
  </si>
  <si>
    <t>Tubulações e Acessórios</t>
  </si>
  <si>
    <t>Rede de Média e Baixa Tensão</t>
  </si>
  <si>
    <t>Fornecimento e assentamento . eletroduto pvc rosc. 1"</t>
  </si>
  <si>
    <t>Fornecimento e assentamento . eletroduto pvc rosc. 2 "</t>
  </si>
  <si>
    <t>Fornecimento e assentamento . eletroduto pvc rosc. 3"</t>
  </si>
  <si>
    <t>Fornecimento e assentamento . eletroduto pvc rosca 3/4"</t>
  </si>
  <si>
    <t>Caixa de passagem em alvenaria com tampa concreto 40x40x40</t>
  </si>
  <si>
    <t>Caixa de passagem para ramais subterrâneos tipo CB2, inclusive tampão de ferro fundido</t>
  </si>
  <si>
    <t>Quadro distr energ p/disj termo-magn unip p/instal at/24disj (de embutir) c/dispositivo para chave geral c/porta e barramento</t>
  </si>
  <si>
    <t>Quadro distr energ p/disj termo-magn unip p/instal ate 6disj sem dispositivo para chave geral c/porta e barramento neutro</t>
  </si>
  <si>
    <t>Fornecimento e instalação de cobre isolado 95 mm2</t>
  </si>
  <si>
    <t>Fio isolado PVC 750v 4 mm2</t>
  </si>
  <si>
    <t>Fio isolado PVC 750v 6 mm2</t>
  </si>
  <si>
    <t>Fio isolado PVC 750v 10 mm2</t>
  </si>
  <si>
    <t>Fio isolado PVC 750v 2,5 mm2</t>
  </si>
  <si>
    <t>Mini-spot 1xe-27/par20 branco - 60w</t>
  </si>
  <si>
    <t>Luminária embutida 2xe-27 branca - 2x26w</t>
  </si>
  <si>
    <t>Spot embutido fixo lâmp. 1x vapor metálico - 70w</t>
  </si>
  <si>
    <t>Luminária embutida fixa lâmp. 2xe-27 - 60w</t>
  </si>
  <si>
    <t>Spot orientável para lâmpada dicróica branca - 50w</t>
  </si>
  <si>
    <t>Embutido de solo p/ 1xar70 - 50w</t>
  </si>
  <si>
    <t>Projetor p/ lâmpada vapor metálico - 400w</t>
  </si>
  <si>
    <t>Embutido de solo p/ 1x vapor metálico - 35w</t>
  </si>
  <si>
    <t>Luminária com espeto para par 20 - 50w</t>
  </si>
  <si>
    <t>Luminária de embutir 2x32w c/refletor duplo parabólico - 2x32w</t>
  </si>
  <si>
    <t>Arandela chanfrada para 1x vapor metálico - 250w</t>
  </si>
  <si>
    <t>Luminária embutida 1xe-27 / flúor. Compacta - 20w</t>
  </si>
  <si>
    <t>Embutido acrílico 4x16w - 600x600mm - 4x16w</t>
  </si>
  <si>
    <t>Mangueira luminosa - metro - 20w</t>
  </si>
  <si>
    <t>Lâmpada fluorescente 840 - 32w</t>
  </si>
  <si>
    <t>Lâmpada fluorescente ho - 110w</t>
  </si>
  <si>
    <t>Luminária de sobrepor fixa lâmpada 1xvapor metálico 250w</t>
  </si>
  <si>
    <t>Escavação de vala com 30cm de profundidade</t>
  </si>
  <si>
    <t>Reaterro com compactação de vala</t>
  </si>
  <si>
    <t>Leito de brita zero de vala com 30cm de profundidade</t>
  </si>
  <si>
    <t>06.01.300.38</t>
  </si>
  <si>
    <t>06.01.300.39</t>
  </si>
  <si>
    <t>06.01.300.40</t>
  </si>
  <si>
    <t>06.01.300.41</t>
  </si>
  <si>
    <t>06.01.300.42</t>
  </si>
  <si>
    <t>06.01.300.43</t>
  </si>
  <si>
    <t>06.01.300.44</t>
  </si>
  <si>
    <t>06.01.300.45</t>
  </si>
  <si>
    <t>06.01.300.46</t>
  </si>
  <si>
    <t>06.01.300.47</t>
  </si>
  <si>
    <t>06.01.300.48</t>
  </si>
  <si>
    <t>06.01.300.49</t>
  </si>
  <si>
    <t>06.01.300.50</t>
  </si>
  <si>
    <t>06.01.300.51</t>
  </si>
  <si>
    <t>06.01.300.52</t>
  </si>
  <si>
    <t>06.01.300.53</t>
  </si>
  <si>
    <t>06.01.300.54</t>
  </si>
  <si>
    <t>06.01.300.55</t>
  </si>
  <si>
    <t>06.01.300.56</t>
  </si>
  <si>
    <t>06.01.300.57</t>
  </si>
  <si>
    <t>06.01.300.58</t>
  </si>
  <si>
    <t>06.01.300.59</t>
  </si>
  <si>
    <t>06.01.300.60</t>
  </si>
  <si>
    <t>06.01.300.61</t>
  </si>
  <si>
    <t>06.01.300.62</t>
  </si>
  <si>
    <t>06.01.300.63</t>
  </si>
  <si>
    <t>06.01.300.64</t>
  </si>
  <si>
    <t>06.01.300.65</t>
  </si>
  <si>
    <t>06.01.300.66</t>
  </si>
  <si>
    <t>06.01.300.67</t>
  </si>
  <si>
    <t>06.01.300.68</t>
  </si>
  <si>
    <t>06.01.300.69</t>
  </si>
  <si>
    <t>06.01.300.70</t>
  </si>
  <si>
    <t>06.01.300.71</t>
  </si>
  <si>
    <t>06.01.300.72</t>
  </si>
  <si>
    <t>06.01.300.73</t>
  </si>
  <si>
    <t>06.01.300.74</t>
  </si>
  <si>
    <t>06.01.300.75</t>
  </si>
  <si>
    <t>Redução para engate rápido de mangueira de 2.1/2" x 1.1/2"</t>
  </si>
  <si>
    <t>Mangueira de 1.1/2" de 30m</t>
  </si>
  <si>
    <t>Placa luminosa com inscrição de saída</t>
  </si>
  <si>
    <t>Pintura de piso com faixa de demarcação de extintor</t>
  </si>
  <si>
    <t>Execução de caixa de hidrante de rua em alvenaria</t>
  </si>
  <si>
    <t>Escadas de ferro tipo marinheiro</t>
  </si>
  <si>
    <t>04.01.804.1</t>
  </si>
  <si>
    <t>04.01.804.2</t>
  </si>
  <si>
    <t>04.01.227.1</t>
  </si>
  <si>
    <t>04.01.227.2</t>
  </si>
  <si>
    <t>04.01.227.3</t>
  </si>
  <si>
    <t>04.01.227.4</t>
  </si>
  <si>
    <t>04.01.227.5</t>
  </si>
  <si>
    <t>04.01.227.6</t>
  </si>
  <si>
    <t>04.01.227.7</t>
  </si>
  <si>
    <t>04.01.227.8</t>
  </si>
  <si>
    <t>04.01.227.9</t>
  </si>
  <si>
    <t>04.01.227.10</t>
  </si>
  <si>
    <t>04.01.227.11</t>
  </si>
  <si>
    <t>04.01.230.4</t>
  </si>
  <si>
    <t>Fechaduras e Ferragens</t>
  </si>
  <si>
    <t>Esquadrias em Alumínio</t>
  </si>
  <si>
    <t>04.01.242.1</t>
  </si>
  <si>
    <t>04.01.242.2</t>
  </si>
  <si>
    <t>Vidro temperado incolor esp=8mm colocado e ferragens ( box de sanitários  ) 1,10 x 1,80 metros</t>
  </si>
  <si>
    <t>Conjunto ferragens cromadas p/esquadria em vidro temperado ( puxador, dobradiças, cantoneiras, pinos e fechaduras)</t>
  </si>
  <si>
    <t>Conjunto ferragens cilindro 330 roseta 303 maçaneta tipo alavanca latão cromado marca La Fonte ou similar</t>
  </si>
  <si>
    <t>06.01.300.78</t>
  </si>
  <si>
    <t>06.01.300.79</t>
  </si>
  <si>
    <t>06.01.300.80</t>
  </si>
  <si>
    <t>06.01.300.81</t>
  </si>
  <si>
    <t>Fusível N-H 300A - instalação trifásica inclusive base</t>
  </si>
  <si>
    <t>Fornecimento e assentamento válvula de descarga 1 1/2 "</t>
  </si>
  <si>
    <t>Tubo de cobre flexível, diâmetro 5/8”OD para refrigeração.</t>
  </si>
  <si>
    <t>Tubo de cobre flexível, diâmetro 3/4”OD para refrigeração.</t>
  </si>
  <si>
    <t>Tubo de cobre flexível, diâmetro 7/8”OD para refrigeração.</t>
  </si>
  <si>
    <t>Tubo de cobre flexível, diâmetro 1.1/8”OD para refrigeração.</t>
  </si>
  <si>
    <t>Joelho 90º de cobre, diâmetro 5/8”OD</t>
  </si>
  <si>
    <t>Joelho 90º de cobre, diâmetro 3/4”OD</t>
  </si>
  <si>
    <t>Joelho 90º de cobre, diâmetro 7/8”OD</t>
  </si>
  <si>
    <t>Joelho 90º de cobre, diâmetro 1.1/8”OD</t>
  </si>
  <si>
    <t>Filtro secador ST-210 x 1/2”OD ou 5/8”OD</t>
  </si>
  <si>
    <t>Luminária de emergência com bateria própria</t>
  </si>
  <si>
    <t>Rub para até 8 pontos</t>
  </si>
  <si>
    <t>Anel de concreto armado de 600mm</t>
  </si>
  <si>
    <t>Anel de concreto armado de 900mm</t>
  </si>
  <si>
    <t>Anel de concreto armado de 1100mm</t>
  </si>
  <si>
    <t>Tampo de concreto armado de 600mm para tampão t33 leve - fornecimento e assentamento</t>
  </si>
  <si>
    <t>Tampo de concreto armado de 900mm para tampão t33 médio - fornecimento e assentamento</t>
  </si>
  <si>
    <t>Ralo seco (simples) de pvc altura regulável c/grelha compreendendo efluente de 50mm em pvc c/2m de extensão e ligação do  ralo sifonado</t>
  </si>
  <si>
    <t>Caixa sifonada de pvc em pav térreo c/tampa cega c/1 entrada de 40mm e saída de 50mm incl ligação de 50mm de pvc ate a caixa de inspeção cha - fornecimento e instalação</t>
  </si>
  <si>
    <t>Tubo concreto  armado  classe ca-1 d=400mm p/gal água pluvial ,rejunt c/ argam cim/areia 1:4,aterro/soca ate alt geratriz sup tubo.</t>
  </si>
  <si>
    <t>tampão ff médio 125kg p/poco visita esg sanit assent c/argam cim/areia |:4.fornec/assent(completo)</t>
  </si>
  <si>
    <t>Condicionador Self-contained com condensação à Ar, com capacidade nominal de 12,5 Trs (37.800Kcak/h),com refrigerante R22, 2 circuitos independentes e 2 compressores Herméticos tipo SCROLL. Evaporador vertical com ventilador Sirocco de dupla aspiração, vazão de Ar de 8400m3/H com Pe disp.= 15mmca, Com correas e Polias de gorne regulável, motor  IP54 de 4 pólos. 2 condensadores, um para cada circuito, tendo ventiladores axiais de alto rendimento e alta durabilidade. modelo de referencia  YORK BAX-12 Série Plus, filtragem G3, Alimentação elétrica em 380V/ 3f/ 60 Hz, tendo consumo máximo 15,5 Kw (32 A) e garantia Mín.1Ano.</t>
  </si>
  <si>
    <t>Condicionador de Ar de Janela, capacidade 1,5 Trs (4.500Kcal/h), com compressor hermético tipo SCROLL, controle mecânico manual e 3 velocidades de vazão de ar. Vazão de ar de 800m3/ h, comando de exaustão, ligação em 220V/Monof./60 Hz, consumo máximo de 1810W (8,4A). Garantia mínima de 1 ano. Modelo de Ref. Springer Carrier XCJ185D ou similar.</t>
  </si>
  <si>
    <t>Box curvo de alumínio fundido diâm. 1”</t>
  </si>
  <si>
    <t>Caixa de alumínio fundido com tampa,  tipo condulete LR com rosca, diâmetro de 1”.</t>
  </si>
  <si>
    <t>Caixa de alumínio fundido com tampa,  tipo condulete T com rosca, diâmetro de 1”.</t>
  </si>
  <si>
    <t>Tomada de Ar Exterior com veneziana em alumínio anodizado na cor natural,  filtro e registro de lâminas convergentes, modelo VDF-711-697 x 597 marca TROX ou similar.</t>
  </si>
  <si>
    <t>Material miúdo de montagem e limpeza.</t>
  </si>
  <si>
    <t>Selo para fita plástica de Arquear de 12mm de largura.</t>
  </si>
  <si>
    <t>Nitrogênio super seco para teste de pressão garrafa com carga de 10m3</t>
  </si>
  <si>
    <t>Material miúdo de montagem e limpeza, gás oxigênio e acetileno para solda, solda Foscoper, estopa, thiner, etc.</t>
  </si>
  <si>
    <t>Termômetro -40 a +40ºC mostrador 80mm, com tubo capilar de cobre de 100mm e bulbo remoto, acabamento cromado FAMABRAS ou similar.</t>
  </si>
  <si>
    <t>Engenheiro mecânico</t>
  </si>
  <si>
    <t>Extintor tipo a.b.c de 6 kg completo, com alça de parede com placa de sinalização do tipo de extintor pó químico</t>
  </si>
  <si>
    <t>FUNDAÇÕES</t>
  </si>
  <si>
    <t>03.01.100</t>
  </si>
  <si>
    <t>Escavação de Valas</t>
  </si>
  <si>
    <t>03.01.101</t>
  </si>
  <si>
    <t>03.01.103</t>
  </si>
  <si>
    <t>04.01.532</t>
  </si>
  <si>
    <t>04.01.533</t>
  </si>
  <si>
    <t>04.01.534</t>
  </si>
  <si>
    <t>04.01.550</t>
  </si>
  <si>
    <t>04.01.551</t>
  </si>
  <si>
    <t>04.01.560</t>
  </si>
  <si>
    <t>Pinturas</t>
  </si>
  <si>
    <t>04.01.561</t>
  </si>
  <si>
    <t>04.01.566</t>
  </si>
  <si>
    <t>04.01.569</t>
  </si>
  <si>
    <t>04.01.576</t>
  </si>
  <si>
    <t>04.01.600</t>
  </si>
  <si>
    <t>Impermeabilizações</t>
  </si>
  <si>
    <t>04.01.601</t>
  </si>
  <si>
    <t>04.01.700</t>
  </si>
  <si>
    <t>Acabamentos e Arremates</t>
  </si>
  <si>
    <t>04.01.701</t>
  </si>
  <si>
    <t>06.09.000.9</t>
  </si>
  <si>
    <t>Sistema de Proteção Contra Descarga Atmosféricas - SPDA</t>
  </si>
  <si>
    <t>06.01.050</t>
  </si>
  <si>
    <t>06.01.050.1</t>
  </si>
  <si>
    <t>06.01.050.2</t>
  </si>
  <si>
    <t>06.01.050.3</t>
  </si>
  <si>
    <t>05.03.000</t>
  </si>
  <si>
    <t>DRENAGEM DE ÁGUAS PLUVIAIS</t>
  </si>
  <si>
    <t>05.03.500</t>
  </si>
  <si>
    <t>10.01.203</t>
  </si>
  <si>
    <t>10.01.204</t>
  </si>
  <si>
    <t>Fornecimento e assentamento de  tubo PVC branco esgoto dn 50mm, inclusive conexões</t>
  </si>
  <si>
    <t>Fornecimento e assentamento de  tubo PVC branco esgoto dn 40mm, inclusive conexões</t>
  </si>
  <si>
    <t>Diversos</t>
  </si>
  <si>
    <t>07.00.000</t>
  </si>
  <si>
    <t>INSTALAÇÕES MECÂNICAS E DE UTILIDADES</t>
  </si>
  <si>
    <t>07.02.000</t>
  </si>
  <si>
    <t>Forn/assent tubo aco carbono sch.40 dn 2" incl. conexoes</t>
  </si>
  <si>
    <t>Abrigo para hidrante de parede completo</t>
  </si>
  <si>
    <t>Alarme avisador audiovisual tipo sirene eletrônica bi-tonal piezoelétrica 12 VCC 300 ma / 24 VCC 200ma nível sonoro de 110 dB Ascael ou similar</t>
  </si>
  <si>
    <t>Botoeira  para acionamento de alarme tipo quebra-vidro endereçável, sonora, à prova de tempo, resinada de acordo com a NBR 9441 AQVS</t>
  </si>
  <si>
    <t>Detector de fumaça óptico convencional ADOE 24 Ascael ou similar</t>
  </si>
  <si>
    <t>04.01.102.1</t>
  </si>
  <si>
    <t>04.01.102.2</t>
  </si>
  <si>
    <t>Porta Metálica</t>
  </si>
  <si>
    <t>03.02.111.1</t>
  </si>
  <si>
    <t>03.02.111.2</t>
  </si>
  <si>
    <t>03.02.111.3</t>
  </si>
  <si>
    <t>Porta de Madeira Compensada</t>
  </si>
  <si>
    <t xml:space="preserve">Vidro Temperado Liso </t>
  </si>
  <si>
    <t>Vidro temperado incolor esp=8mm colocado sem ferragens ( visor audiovisual ) 2,30 x 1,20 metros</t>
  </si>
  <si>
    <t>Vidro temperado incolor esp=8mm colocado sem ferragens ( painel sala de exposição ) 2,70 x 2,70 metros</t>
  </si>
  <si>
    <t>Vidro temperado incolor esp=8mm colocado sem ferragens ( porta giratória da sala de exposição ) 3,10 x 2,70 metros</t>
  </si>
  <si>
    <t>Revestimento de paredes do auditório em madeira compensada 15mm com acabamento em laminado mogno, conforme projetos e detalhes</t>
  </si>
  <si>
    <t>04.01.540.1</t>
  </si>
  <si>
    <t>Vidro liso incolor e=4,0mm colocado em esquadrias</t>
  </si>
  <si>
    <t>Corrimão em tubos de ferro</t>
  </si>
  <si>
    <t>Conjunto de mola de piso para esquadria em vidro temperado Dorma,  La Fonte ou similar</t>
  </si>
  <si>
    <t>04.01.242.3</t>
  </si>
  <si>
    <t>04.01.303.3</t>
  </si>
  <si>
    <t>04.01.303.4</t>
  </si>
  <si>
    <t>Pç</t>
  </si>
  <si>
    <t>Conjunto ARSTOP para ligação dos aparelhos de janela, tendo uma caixa metálica, 1 disjuntor tripolar de 15A  e uma tomada de 3 pinos</t>
  </si>
  <si>
    <t>Quadro elétrico geral 380V/3F/60Hz, Potencia de 16Kw (35A) tendo disjuntor geral de 50 A Trifásico.</t>
  </si>
  <si>
    <t>Eletroduto de Ferro Galvanizado a fogo, Classe pesada em barras de 3m, diâmetro de 1”.</t>
  </si>
  <si>
    <t>Brr</t>
  </si>
  <si>
    <t>Copex metálico revestido diâmetro de 1”.</t>
  </si>
  <si>
    <t>Cabinho flexível tipo pirastic flex antiflan Pirelli ou similar , # 2,5mm2. Em rolo de 100m.</t>
  </si>
  <si>
    <t>Rolo</t>
  </si>
  <si>
    <t>Cabinho flexível tipo pirastic flex antiflan Pirelli ou similar , #  6mm2. Em rolo de 100m.</t>
  </si>
  <si>
    <t>01.01.000</t>
  </si>
  <si>
    <t>TOPOGRAFIA</t>
  </si>
  <si>
    <t>01.01.100</t>
  </si>
  <si>
    <t xml:space="preserve">Levantamento Planialtimétrico </t>
  </si>
  <si>
    <t>Execução de levantamento planialtimétrico ( Topografia )</t>
  </si>
  <si>
    <t>Oficial mecânico montador</t>
  </si>
  <si>
    <t>Oficial isolador</t>
  </si>
  <si>
    <t>M. OBRA + MAT=(B)</t>
  </si>
  <si>
    <t>CONSUMO =(A)</t>
  </si>
  <si>
    <t>Instalação De Papeleira, Saboneteira E Cabide Em Louca Branca</t>
  </si>
  <si>
    <t>Sifão Cromado 1 1/2" X 2"  P/Pia</t>
  </si>
  <si>
    <t xml:space="preserve">Válvula Americana Cromada </t>
  </si>
  <si>
    <t>Torneira Pressão Cromada Longa 3/4" Parede P/Pia</t>
  </si>
  <si>
    <t>Torneira Pressão Cromada 1/2" P/Lavatorio C/Rabicho Cromado</t>
  </si>
  <si>
    <t>Barra De Apoio Para Deficiente Físico</t>
  </si>
  <si>
    <t>Condicionadores de Ar</t>
  </si>
  <si>
    <t>05.04.300</t>
  </si>
  <si>
    <t>04.01.6010</t>
  </si>
  <si>
    <t>Impermeabilização c/arg. rígida cim/areia 1:3 e=2,5cm + vedacit ( caixa inferior e superior )</t>
  </si>
  <si>
    <t xml:space="preserve">Tratamento térmico com argila expandida - agregado vermiculita densidade 100kg/m3 </t>
  </si>
  <si>
    <t>PLANILHA DE ORÇAMENTO DE CUSTOS - ANALÍTICA</t>
  </si>
  <si>
    <t xml:space="preserve">% </t>
  </si>
  <si>
    <t>Registro de Pressão</t>
  </si>
  <si>
    <t>Registro de Gaveta</t>
  </si>
  <si>
    <t>Conjunto motor bomba de recalque, descrição conforme projetos e detalhes</t>
  </si>
  <si>
    <t>05.01.610</t>
  </si>
  <si>
    <t>05.01.515.1</t>
  </si>
  <si>
    <t>05.01.515.2</t>
  </si>
  <si>
    <t>05.01.515.3</t>
  </si>
  <si>
    <t>05.01.516.1</t>
  </si>
  <si>
    <t>05.01.516.2</t>
  </si>
  <si>
    <t>05.01.516.3</t>
  </si>
  <si>
    <t>05.01.516.4</t>
  </si>
  <si>
    <t>05.01.516.5</t>
  </si>
  <si>
    <t>05.01.516.6</t>
  </si>
  <si>
    <t>05.01.516.7</t>
  </si>
  <si>
    <t>05.01.516.8</t>
  </si>
  <si>
    <t>05.01.610.1</t>
  </si>
  <si>
    <t>05.01.610.2</t>
  </si>
  <si>
    <t>05.01.500.14</t>
  </si>
  <si>
    <t>Fornecimento e assentamento de  registro gaveta canopla cromada 1"</t>
  </si>
  <si>
    <t>Fornecimento e assentamento de  registro gaveta bruto 3/4"</t>
  </si>
  <si>
    <t>Fornecimento e assentamento de  registro gaveta bruto 2"</t>
  </si>
  <si>
    <t>Fornecimento e assentamento de  registro gaveta bruto 2 1/2"</t>
  </si>
  <si>
    <t>Fornecimento e assentamento de  registro gaveta bruto 3"</t>
  </si>
  <si>
    <t>Fornecimento e assentamento de registro de pressão - base - 1"</t>
  </si>
  <si>
    <t>Fornecimento e assentamento de registro de pressão - base - 1/2"</t>
  </si>
  <si>
    <t>Fornecimento e assentamento de  registro gaveta canopla cromada 1 1/4</t>
  </si>
  <si>
    <t>Fornecimento e assentamento de  registro gaveta canopla cromada 3/4"</t>
  </si>
  <si>
    <t>Fornecimento e assentamento de  tubo PVC soldável marrom dn 32mm, inclusive  conexões</t>
  </si>
  <si>
    <t>Fornecimento e assentamento de  tubo PVC soldável marrom dn 40mm, inclusive  conexões</t>
  </si>
  <si>
    <t>Fornecimento e assentamento de  tubo PVC soldável marrom dn 60mm, inclusive  conexões</t>
  </si>
  <si>
    <t>Fornecimento e assentamento de  tubo PVC soldável marrom dn 75mm, inclusive  conexões</t>
  </si>
  <si>
    <t>Fornecimento e assentamento de  tubo PVC soldável marrom dn 85mm, inclusive  conexões</t>
  </si>
  <si>
    <t>Fornecimento e assentamento de  tubo PVC soldável marrom dn 110mm, inclusive  conexões</t>
  </si>
  <si>
    <t>Fornecimento e assentamento de  tubo PVC soldável marrom dn 140mm, inclusive  conexões</t>
  </si>
  <si>
    <t>Fornecimento e assentamento de  registro gaveta bruto 5"</t>
  </si>
  <si>
    <t>Fornecimento e assentamento de  pressão cromado 3/4"</t>
  </si>
  <si>
    <t>Torneira bóia metálica de vazão total de 3/4</t>
  </si>
  <si>
    <t>Tubulações com Conexões de PVC Rígido</t>
  </si>
  <si>
    <t>Tubulações com Conexões de PVC</t>
  </si>
  <si>
    <t>Fornecimento e assentamento de  tubo PVC branco esgoto dn 75mm, inclusive conexões</t>
  </si>
  <si>
    <t>Fornecimento e assentamento de  tubo PVC branco esgoto dn 100mm, inclusive conexões</t>
  </si>
  <si>
    <t>Fornecimento e assentamento de  tubo PVC branco esgoto dn 150mm, inclusive conexões</t>
  </si>
  <si>
    <t>Aterro em (edificações) compactado manualmente</t>
  </si>
  <si>
    <t>Emboco áspero c/argamassa 1:2:8 cimento/cal/areia media</t>
  </si>
  <si>
    <t>Reboco paulista c/arg cim/cal/areia 1:2:11 prep mec e=2cm (massa única)</t>
  </si>
  <si>
    <t>Cerâmica/azulejo  esmaltada p/parede 20x20cm padrão médio PEI 4 assentado com argamassa industrializada AC1 e rejuntamento de cimento branco Quartzolit</t>
  </si>
  <si>
    <t>Pintura látex acrílica parede interna 2 demãos</t>
  </si>
  <si>
    <t>Camada de proteção c/arg. cim/areia peneirada 1:3 e=1,5cm</t>
  </si>
  <si>
    <t>Esquadria alumínio correr s/bandeira para vidro c/ferragens dimensões   2,95   x  1,55  metros   tipo    E13</t>
  </si>
  <si>
    <t>Esquadria alumínio correr s/bandeira para vidro c/ferragens dimensões   1,95   x  1,55  metros   tipo    E14</t>
  </si>
  <si>
    <t>Porta p/sanitario 60x160cm completa, espessura 20mm c/laminado texturizado, marco madeira 7,5x3,0cm, dobradiças, tarjeta "livre/ocupado" em divisórias</t>
  </si>
  <si>
    <t>Porta madeira compensada  lisa 60x210cm 35mm para cera ou verniz com aduela 13cm e alizar de 1a qualidade, dobradiças de latão cromado c/anel</t>
  </si>
  <si>
    <t>Porta madeira compensada  lisa 80x210cm 35mm para cera ou verniz com aduela 13cm e alizar de 1a qualidade, dobradiças de latão cromado c/anel</t>
  </si>
  <si>
    <t>Porta madeira compensada  lisa 160x210cm 35mm para cera ou verniz com aduela 13cm e alizar de 1a qualidade, dobradiças de latão cromado c/anel</t>
  </si>
  <si>
    <t xml:space="preserve">Contrapisos, Lastros e Cimentados </t>
  </si>
  <si>
    <t>Piso alta resistência em massa granilite - tipo granitina (não inclui o lastro de concreto)</t>
  </si>
  <si>
    <t>Pintura hidrofugante, 1 demão, sobre concreto aparente em fachadas</t>
  </si>
  <si>
    <t>Pintura látex PVA interna 3 demãos c/preparo parede c/fundo preparado a base látex 1 demão ( tetos )</t>
  </si>
  <si>
    <t>Impermeabilização c/manta torodim 4mm- não incluso a regularização de base, não incluso a proteção mecânica ( lajes de cobertura)</t>
  </si>
  <si>
    <t xml:space="preserve">Regularização para impermeabilização em cimentado rústico e=3,0cm argamassa cim/areia 1:3 </t>
  </si>
  <si>
    <t>04.01.601.3</t>
  </si>
  <si>
    <t>Pintura Asfáltica</t>
  </si>
  <si>
    <t>04.04.585</t>
  </si>
  <si>
    <t>04.04.586</t>
  </si>
  <si>
    <t>Impermeabilização de fundações  ( blocos e cintas ) em contato com o solo - utilizando tinta betuminosa tipo neutrolin com  2 demãos</t>
  </si>
  <si>
    <t xml:space="preserve">Multimembranas </t>
  </si>
  <si>
    <t>Guarda-corpo em vidro laminado 8mm com acessórios conforme projetos e detalhes</t>
  </si>
  <si>
    <t>05.01.515</t>
  </si>
  <si>
    <t>05.01.516</t>
  </si>
  <si>
    <t>07.04.600</t>
  </si>
  <si>
    <t>07.04.601</t>
  </si>
  <si>
    <t>07.04.602</t>
  </si>
  <si>
    <t>07.04.603</t>
  </si>
  <si>
    <t>07.04.604</t>
  </si>
  <si>
    <t>07.04.605</t>
  </si>
  <si>
    <t>07.04.606</t>
  </si>
  <si>
    <t>07.04.607</t>
  </si>
  <si>
    <t>07.04.608</t>
  </si>
  <si>
    <t>07.04.609</t>
  </si>
  <si>
    <t>07.04.610</t>
  </si>
  <si>
    <t>07.04.611</t>
  </si>
  <si>
    <t>07.04.612</t>
  </si>
  <si>
    <t>07.04.613</t>
  </si>
  <si>
    <t>07.04.614</t>
  </si>
  <si>
    <t>07.04.615</t>
  </si>
  <si>
    <t>07.04.616</t>
  </si>
  <si>
    <t>07.04.617</t>
  </si>
  <si>
    <t>07.04.618</t>
  </si>
  <si>
    <t>07.04.619</t>
  </si>
  <si>
    <t>07.04.620</t>
  </si>
  <si>
    <t>07.04.621</t>
  </si>
  <si>
    <t>07.04.622</t>
  </si>
  <si>
    <t>07.04.624</t>
  </si>
  <si>
    <t>07.04.626</t>
  </si>
  <si>
    <t>07.04.627</t>
  </si>
  <si>
    <t>07.04.628</t>
  </si>
  <si>
    <t>07.04.630</t>
  </si>
  <si>
    <t>07.04.631</t>
  </si>
  <si>
    <t>unid.</t>
  </si>
  <si>
    <t>Cantoneira de ferro de 1" x 1/8" esp. (barra 6m)</t>
  </si>
  <si>
    <t xml:space="preserve">Zarcão fundo de acabamento </t>
  </si>
  <si>
    <t>gl</t>
  </si>
  <si>
    <t>Manejo elevado para ferro de 1/2”, completo com o eixo de ferro quadrado de 50 cm.</t>
  </si>
  <si>
    <t>Manta de BIDIN OP-30 para isolamento interno dos dutos desde a máquina até a 2ª curva.</t>
  </si>
  <si>
    <t xml:space="preserve">LOCAL: </t>
  </si>
  <si>
    <t xml:space="preserve">CRONOGRAMA  </t>
  </si>
  <si>
    <t>BDI</t>
  </si>
  <si>
    <t>Bonificações e Despesas Indiretas</t>
  </si>
</sst>
</file>

<file path=xl/styles.xml><?xml version="1.0" encoding="utf-8"?>
<styleSheet xmlns="http://schemas.openxmlformats.org/spreadsheetml/2006/main">
  <numFmts count="3">
    <numFmt numFmtId="164" formatCode="_(* #,##0.00_);_(* \(#,##0.00\);_(* &quot;-&quot;??_);_(@_)"/>
    <numFmt numFmtId="165" formatCode="_(* #,##0_);_(* \(#,##0\);_(* &quot;-&quot;??_);_(@_)"/>
    <numFmt numFmtId="166" formatCode="0.000%"/>
  </numFmts>
  <fonts count="19">
    <font>
      <sz val="10"/>
      <name val="Arial"/>
    </font>
    <font>
      <sz val="10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vertAlign val="superscript"/>
      <sz val="11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b/>
      <sz val="8"/>
      <color indexed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3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28">
    <xf numFmtId="0" fontId="0" fillId="0" borderId="0" xfId="0"/>
    <xf numFmtId="0" fontId="0" fillId="2" borderId="0" xfId="0" applyFill="1"/>
    <xf numFmtId="0" fontId="8" fillId="2" borderId="0" xfId="0" applyFont="1" applyFill="1"/>
    <xf numFmtId="0" fontId="8" fillId="0" borderId="0" xfId="0" applyFont="1"/>
    <xf numFmtId="164" fontId="4" fillId="2" borderId="0" xfId="3" applyFont="1" applyFill="1" applyBorder="1" applyAlignment="1">
      <alignment vertical="center"/>
    </xf>
    <xf numFmtId="0" fontId="5" fillId="2" borderId="0" xfId="0" applyFont="1" applyFill="1" applyAlignment="1">
      <alignment horizontal="center"/>
    </xf>
    <xf numFmtId="0" fontId="6" fillId="0" borderId="0" xfId="0" applyFont="1" applyAlignment="1">
      <alignment vertical="center"/>
    </xf>
    <xf numFmtId="0" fontId="6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7" fillId="0" borderId="0" xfId="0" applyFont="1"/>
    <xf numFmtId="164" fontId="10" fillId="2" borderId="1" xfId="3" applyFont="1" applyFill="1" applyBorder="1" applyAlignment="1">
      <alignment vertical="center"/>
    </xf>
    <xf numFmtId="10" fontId="10" fillId="2" borderId="1" xfId="2" applyNumberFormat="1" applyFont="1" applyFill="1" applyBorder="1" applyAlignment="1">
      <alignment horizontal="center" vertical="center"/>
    </xf>
    <xf numFmtId="0" fontId="10" fillId="0" borderId="0" xfId="0" applyFont="1"/>
    <xf numFmtId="0" fontId="6" fillId="3" borderId="0" xfId="0" applyFont="1" applyFill="1" applyBorder="1" applyAlignment="1">
      <alignment vertical="center"/>
    </xf>
    <xf numFmtId="0" fontId="6" fillId="3" borderId="0" xfId="0" applyFont="1" applyFill="1" applyAlignment="1">
      <alignment vertical="center"/>
    </xf>
    <xf numFmtId="164" fontId="3" fillId="2" borderId="0" xfId="3" applyFont="1" applyFill="1" applyBorder="1" applyAlignment="1">
      <alignment vertical="center"/>
    </xf>
    <xf numFmtId="164" fontId="3" fillId="2" borderId="0" xfId="3" applyFont="1" applyFill="1" applyBorder="1" applyAlignment="1">
      <alignment horizontal="left" vertical="center"/>
    </xf>
    <xf numFmtId="164" fontId="3" fillId="2" borderId="0" xfId="3" quotePrefix="1" applyFont="1" applyFill="1" applyBorder="1" applyAlignment="1">
      <alignment horizontal="left" vertical="center"/>
    </xf>
    <xf numFmtId="164" fontId="7" fillId="2" borderId="0" xfId="3" applyFont="1" applyFill="1" applyBorder="1" applyAlignment="1">
      <alignment vertical="center"/>
    </xf>
    <xf numFmtId="164" fontId="10" fillId="2" borderId="0" xfId="3" applyFont="1" applyFill="1" applyBorder="1" applyAlignment="1">
      <alignment vertical="center"/>
    </xf>
    <xf numFmtId="0" fontId="7" fillId="3" borderId="0" xfId="0" applyFont="1" applyFill="1"/>
    <xf numFmtId="0" fontId="7" fillId="2" borderId="1" xfId="0" applyNumberFormat="1" applyFont="1" applyFill="1" applyBorder="1" applyAlignment="1">
      <alignment horizontal="center" vertical="center"/>
    </xf>
    <xf numFmtId="164" fontId="10" fillId="0" borderId="0" xfId="3" applyFont="1"/>
    <xf numFmtId="0" fontId="8" fillId="2" borderId="0" xfId="0" applyFont="1" applyFill="1" applyBorder="1" applyAlignment="1">
      <alignment horizontal="center" vertical="center"/>
    </xf>
    <xf numFmtId="0" fontId="0" fillId="0" borderId="0" xfId="0" applyAlignment="1"/>
    <xf numFmtId="164" fontId="10" fillId="2" borderId="2" xfId="3" applyFont="1" applyFill="1" applyBorder="1" applyAlignment="1">
      <alignment horizontal="center"/>
    </xf>
    <xf numFmtId="164" fontId="10" fillId="2" borderId="2" xfId="3" applyFont="1" applyFill="1" applyBorder="1" applyAlignment="1"/>
    <xf numFmtId="0" fontId="0" fillId="2" borderId="3" xfId="0" applyFill="1" applyBorder="1"/>
    <xf numFmtId="0" fontId="0" fillId="2" borderId="0" xfId="0" applyFill="1" applyBorder="1"/>
    <xf numFmtId="0" fontId="7" fillId="2" borderId="0" xfId="0" applyFont="1" applyFill="1" applyBorder="1" applyAlignment="1">
      <alignment horizontal="center" vertical="center"/>
    </xf>
    <xf numFmtId="0" fontId="0" fillId="2" borderId="0" xfId="0" applyFill="1" applyAlignment="1"/>
    <xf numFmtId="0" fontId="10" fillId="2" borderId="0" xfId="0" applyFont="1" applyFill="1" applyBorder="1" applyAlignment="1">
      <alignment horizontal="center" vertical="center"/>
    </xf>
    <xf numFmtId="164" fontId="0" fillId="2" borderId="0" xfId="3" applyFont="1" applyFill="1" applyAlignment="1"/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/>
    <xf numFmtId="166" fontId="10" fillId="2" borderId="0" xfId="2" applyNumberFormat="1" applyFont="1" applyFill="1" applyBorder="1" applyAlignment="1">
      <alignment horizontal="center" vertical="center"/>
    </xf>
    <xf numFmtId="164" fontId="10" fillId="2" borderId="0" xfId="3" applyFont="1" applyFill="1" applyBorder="1" applyAlignment="1"/>
    <xf numFmtId="0" fontId="9" fillId="2" borderId="4" xfId="0" applyNumberFormat="1" applyFont="1" applyFill="1" applyBorder="1" applyAlignment="1">
      <alignment vertical="center" wrapText="1"/>
    </xf>
    <xf numFmtId="0" fontId="9" fillId="2" borderId="5" xfId="0" applyNumberFormat="1" applyFont="1" applyFill="1" applyBorder="1" applyAlignment="1">
      <alignment wrapText="1"/>
    </xf>
    <xf numFmtId="0" fontId="10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/>
    </xf>
    <xf numFmtId="164" fontId="10" fillId="2" borderId="5" xfId="3" applyFont="1" applyFill="1" applyBorder="1" applyAlignment="1">
      <alignment horizontal="center"/>
    </xf>
    <xf numFmtId="164" fontId="10" fillId="2" borderId="4" xfId="3" applyFont="1" applyFill="1" applyBorder="1" applyAlignment="1">
      <alignment horizontal="center" vertical="center"/>
    </xf>
    <xf numFmtId="0" fontId="0" fillId="2" borderId="1" xfId="0" applyFill="1" applyBorder="1"/>
    <xf numFmtId="164" fontId="10" fillId="2" borderId="1" xfId="3" applyFont="1" applyFill="1" applyBorder="1"/>
    <xf numFmtId="0" fontId="16" fillId="2" borderId="6" xfId="0" applyFont="1" applyFill="1" applyBorder="1" applyAlignment="1">
      <alignment horizontal="center"/>
    </xf>
    <xf numFmtId="0" fontId="16" fillId="2" borderId="7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3" borderId="0" xfId="0" applyFont="1" applyFill="1" applyAlignment="1">
      <alignment horizontal="center"/>
    </xf>
    <xf numFmtId="0" fontId="16" fillId="2" borderId="8" xfId="0" applyFont="1" applyFill="1" applyBorder="1" applyAlignment="1">
      <alignment horizontal="center"/>
    </xf>
    <xf numFmtId="0" fontId="16" fillId="2" borderId="9" xfId="0" applyFont="1" applyFill="1" applyBorder="1" applyAlignment="1">
      <alignment horizontal="center"/>
    </xf>
    <xf numFmtId="0" fontId="16" fillId="2" borderId="10" xfId="0" applyFont="1" applyFill="1" applyBorder="1" applyAlignment="1">
      <alignment horizontal="center"/>
    </xf>
    <xf numFmtId="0" fontId="16" fillId="2" borderId="11" xfId="0" applyFont="1" applyFill="1" applyBorder="1" applyAlignment="1">
      <alignment horizontal="center"/>
    </xf>
    <xf numFmtId="0" fontId="7" fillId="2" borderId="0" xfId="0" applyFont="1" applyFill="1" applyBorder="1" applyAlignment="1">
      <alignment vertical="center"/>
    </xf>
    <xf numFmtId="0" fontId="7" fillId="2" borderId="12" xfId="0" applyFont="1" applyFill="1" applyBorder="1" applyAlignment="1"/>
    <xf numFmtId="164" fontId="2" fillId="2" borderId="2" xfId="3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13" xfId="0" applyFill="1" applyBorder="1"/>
    <xf numFmtId="0" fontId="0" fillId="2" borderId="14" xfId="0" applyFill="1" applyBorder="1"/>
    <xf numFmtId="0" fontId="10" fillId="2" borderId="15" xfId="0" applyFont="1" applyFill="1" applyBorder="1" applyAlignment="1">
      <alignment vertical="center"/>
    </xf>
    <xf numFmtId="164" fontId="10" fillId="2" borderId="3" xfId="3" applyFont="1" applyFill="1" applyBorder="1" applyAlignment="1">
      <alignment vertical="center"/>
    </xf>
    <xf numFmtId="10" fontId="10" fillId="2" borderId="3" xfId="2" applyNumberFormat="1" applyFont="1" applyFill="1" applyBorder="1" applyAlignment="1">
      <alignment horizontal="center" vertical="center"/>
    </xf>
    <xf numFmtId="0" fontId="8" fillId="2" borderId="16" xfId="0" applyNumberFormat="1" applyFont="1" applyFill="1" applyBorder="1" applyAlignment="1">
      <alignment vertical="center" wrapText="1"/>
    </xf>
    <xf numFmtId="0" fontId="8" fillId="0" borderId="16" xfId="0" applyFont="1" applyBorder="1" applyAlignment="1">
      <alignment vertical="center" wrapText="1"/>
    </xf>
    <xf numFmtId="0" fontId="10" fillId="2" borderId="17" xfId="0" applyFont="1" applyFill="1" applyBorder="1" applyAlignment="1">
      <alignment vertical="center"/>
    </xf>
    <xf numFmtId="0" fontId="9" fillId="2" borderId="16" xfId="0" applyNumberFormat="1" applyFont="1" applyFill="1" applyBorder="1" applyAlignment="1">
      <alignment vertical="center"/>
    </xf>
    <xf numFmtId="0" fontId="8" fillId="2" borderId="16" xfId="0" applyNumberFormat="1" applyFont="1" applyFill="1" applyBorder="1" applyAlignment="1">
      <alignment vertical="center"/>
    </xf>
    <xf numFmtId="0" fontId="10" fillId="2" borderId="16" xfId="0" applyNumberFormat="1" applyFont="1" applyFill="1" applyBorder="1" applyAlignment="1">
      <alignment horizontal="center" vertical="center"/>
    </xf>
    <xf numFmtId="164" fontId="10" fillId="2" borderId="16" xfId="3" applyFont="1" applyFill="1" applyBorder="1" applyAlignment="1">
      <alignment horizontal="center" vertical="center"/>
    </xf>
    <xf numFmtId="164" fontId="10" fillId="2" borderId="16" xfId="3" applyFont="1" applyFill="1" applyBorder="1" applyAlignment="1">
      <alignment vertical="center"/>
    </xf>
    <xf numFmtId="10" fontId="10" fillId="2" borderId="18" xfId="2" applyNumberFormat="1" applyFont="1" applyFill="1" applyBorder="1" applyAlignment="1">
      <alignment horizontal="center" vertical="center"/>
    </xf>
    <xf numFmtId="164" fontId="10" fillId="2" borderId="19" xfId="3" applyFont="1" applyFill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right" vertical="center" wrapText="1"/>
    </xf>
    <xf numFmtId="164" fontId="7" fillId="2" borderId="16" xfId="3" applyFont="1" applyFill="1" applyBorder="1" applyAlignment="1">
      <alignment vertical="center"/>
    </xf>
    <xf numFmtId="0" fontId="9" fillId="2" borderId="16" xfId="0" applyFont="1" applyFill="1" applyBorder="1" applyAlignment="1">
      <alignment vertical="center"/>
    </xf>
    <xf numFmtId="0" fontId="10" fillId="2" borderId="16" xfId="0" applyFont="1" applyFill="1" applyBorder="1" applyAlignment="1">
      <alignment horizontal="center" vertical="center"/>
    </xf>
    <xf numFmtId="0" fontId="7" fillId="2" borderId="16" xfId="0" applyNumberFormat="1" applyFont="1" applyFill="1" applyBorder="1" applyAlignment="1">
      <alignment horizontal="center" vertical="center"/>
    </xf>
    <xf numFmtId="164" fontId="7" fillId="2" borderId="16" xfId="3" applyFont="1" applyFill="1" applyBorder="1" applyAlignment="1">
      <alignment horizontal="center" vertical="center"/>
    </xf>
    <xf numFmtId="0" fontId="0" fillId="2" borderId="17" xfId="0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10" fontId="10" fillId="2" borderId="16" xfId="2" applyNumberFormat="1" applyFont="1" applyFill="1" applyBorder="1" applyAlignment="1">
      <alignment horizontal="center" vertical="center"/>
    </xf>
    <xf numFmtId="0" fontId="3" fillId="3" borderId="16" xfId="0" applyNumberFormat="1" applyFont="1" applyFill="1" applyBorder="1" applyAlignment="1">
      <alignment horizontal="center" vertical="center"/>
    </xf>
    <xf numFmtId="164" fontId="3" fillId="3" borderId="16" xfId="3" applyFont="1" applyFill="1" applyBorder="1" applyAlignment="1">
      <alignment horizontal="center" vertical="center"/>
    </xf>
    <xf numFmtId="164" fontId="3" fillId="3" borderId="16" xfId="3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164" fontId="11" fillId="3" borderId="16" xfId="3" applyFont="1" applyFill="1" applyBorder="1" applyAlignment="1">
      <alignment horizontal="left" vertical="center"/>
    </xf>
    <xf numFmtId="0" fontId="4" fillId="3" borderId="16" xfId="3" applyNumberFormat="1" applyFont="1" applyFill="1" applyBorder="1" applyAlignment="1">
      <alignment horizontal="center" vertical="center"/>
    </xf>
    <xf numFmtId="164" fontId="4" fillId="3" borderId="16" xfId="3" applyFont="1" applyFill="1" applyBorder="1" applyAlignment="1">
      <alignment horizontal="center" vertical="center"/>
    </xf>
    <xf numFmtId="164" fontId="4" fillId="3" borderId="16" xfId="3" applyFont="1" applyFill="1" applyBorder="1" applyAlignment="1">
      <alignment vertical="center"/>
    </xf>
    <xf numFmtId="164" fontId="3" fillId="3" borderId="16" xfId="3" applyFont="1" applyFill="1" applyBorder="1" applyAlignment="1">
      <alignment horizontal="left" vertical="center"/>
    </xf>
    <xf numFmtId="164" fontId="4" fillId="2" borderId="16" xfId="3" applyFont="1" applyFill="1" applyBorder="1" applyAlignment="1">
      <alignment horizontal="center" vertical="center"/>
    </xf>
    <xf numFmtId="164" fontId="4" fillId="2" borderId="16" xfId="3" applyFont="1" applyFill="1" applyBorder="1" applyAlignment="1">
      <alignment vertical="center"/>
    </xf>
    <xf numFmtId="0" fontId="10" fillId="2" borderId="16" xfId="0" applyFont="1" applyFill="1" applyBorder="1" applyAlignment="1">
      <alignment horizontal="left" vertical="center"/>
    </xf>
    <xf numFmtId="49" fontId="4" fillId="2" borderId="16" xfId="3" applyNumberFormat="1" applyFont="1" applyFill="1" applyBorder="1" applyAlignment="1">
      <alignment horizontal="left" vertical="center" wrapText="1"/>
    </xf>
    <xf numFmtId="49" fontId="4" fillId="2" borderId="16" xfId="3" applyNumberFormat="1" applyFont="1" applyFill="1" applyBorder="1" applyAlignment="1">
      <alignment horizontal="left" vertical="center"/>
    </xf>
    <xf numFmtId="164" fontId="3" fillId="3" borderId="16" xfId="2" applyNumberFormat="1" applyFont="1" applyFill="1" applyBorder="1" applyAlignment="1">
      <alignment horizontal="center" vertical="center"/>
    </xf>
    <xf numFmtId="164" fontId="2" fillId="2" borderId="20" xfId="3" applyFont="1" applyFill="1" applyBorder="1" applyAlignment="1">
      <alignment horizontal="center" vertical="center"/>
    </xf>
    <xf numFmtId="164" fontId="2" fillId="2" borderId="20" xfId="3" quotePrefix="1" applyFont="1" applyFill="1" applyBorder="1" applyAlignment="1">
      <alignment horizontal="center" vertical="center"/>
    </xf>
    <xf numFmtId="164" fontId="10" fillId="2" borderId="18" xfId="3" applyFont="1" applyFill="1" applyBorder="1" applyAlignment="1">
      <alignment horizontal="center" vertical="center"/>
    </xf>
    <xf numFmtId="10" fontId="7" fillId="2" borderId="16" xfId="2" applyNumberFormat="1" applyFont="1" applyFill="1" applyBorder="1" applyAlignment="1">
      <alignment horizontal="center" vertical="center"/>
    </xf>
    <xf numFmtId="10" fontId="7" fillId="2" borderId="18" xfId="2" applyNumberFormat="1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vertical="center"/>
    </xf>
    <xf numFmtId="164" fontId="3" fillId="3" borderId="18" xfId="3" applyFont="1" applyFill="1" applyBorder="1" applyAlignment="1">
      <alignment vertical="center"/>
    </xf>
    <xf numFmtId="0" fontId="7" fillId="2" borderId="17" xfId="0" applyFont="1" applyFill="1" applyBorder="1" applyAlignment="1">
      <alignment vertical="center"/>
    </xf>
    <xf numFmtId="0" fontId="10" fillId="0" borderId="16" xfId="0" applyFont="1" applyBorder="1" applyAlignment="1">
      <alignment vertical="center"/>
    </xf>
    <xf numFmtId="165" fontId="4" fillId="3" borderId="17" xfId="3" applyNumberFormat="1" applyFont="1" applyFill="1" applyBorder="1" applyAlignment="1">
      <alignment vertical="center"/>
    </xf>
    <xf numFmtId="9" fontId="7" fillId="2" borderId="18" xfId="2" applyNumberFormat="1" applyFont="1" applyFill="1" applyBorder="1" applyAlignment="1">
      <alignment horizontal="center" vertical="center"/>
    </xf>
    <xf numFmtId="165" fontId="4" fillId="2" borderId="17" xfId="3" applyNumberFormat="1" applyFont="1" applyFill="1" applyBorder="1" applyAlignment="1">
      <alignment vertical="center"/>
    </xf>
    <xf numFmtId="164" fontId="4" fillId="2" borderId="18" xfId="3" applyFont="1" applyFill="1" applyBorder="1" applyAlignment="1">
      <alignment vertical="center"/>
    </xf>
    <xf numFmtId="165" fontId="4" fillId="2" borderId="17" xfId="3" applyNumberFormat="1" applyFont="1" applyFill="1" applyBorder="1" applyAlignment="1">
      <alignment horizontal="right" vertical="center"/>
    </xf>
    <xf numFmtId="164" fontId="4" fillId="2" borderId="18" xfId="3" applyFont="1" applyFill="1" applyBorder="1" applyAlignment="1">
      <alignment horizontal="center" vertical="center"/>
    </xf>
    <xf numFmtId="0" fontId="8" fillId="0" borderId="19" xfId="0" applyFont="1" applyBorder="1"/>
    <xf numFmtId="0" fontId="10" fillId="0" borderId="19" xfId="0" applyFont="1" applyBorder="1" applyAlignment="1">
      <alignment vertical="center"/>
    </xf>
    <xf numFmtId="0" fontId="0" fillId="2" borderId="21" xfId="0" applyFill="1" applyBorder="1"/>
    <xf numFmtId="0" fontId="0" fillId="0" borderId="0" xfId="0" applyBorder="1" applyAlignment="1">
      <alignment horizontal="right" vertical="center" wrapText="1"/>
    </xf>
    <xf numFmtId="0" fontId="0" fillId="0" borderId="0" xfId="0" applyBorder="1" applyAlignment="1">
      <alignment horizontal="left" vertical="center" wrapText="1"/>
    </xf>
    <xf numFmtId="0" fontId="7" fillId="2" borderId="22" xfId="0" applyFont="1" applyFill="1" applyBorder="1" applyAlignment="1"/>
    <xf numFmtId="0" fontId="10" fillId="2" borderId="23" xfId="0" applyNumberFormat="1" applyFont="1" applyFill="1" applyBorder="1" applyAlignment="1">
      <alignment horizontal="center" vertical="center"/>
    </xf>
    <xf numFmtId="164" fontId="10" fillId="2" borderId="23" xfId="3" applyFont="1" applyFill="1" applyBorder="1" applyAlignment="1">
      <alignment horizontal="center" vertical="center"/>
    </xf>
    <xf numFmtId="164" fontId="10" fillId="2" borderId="23" xfId="3" applyFont="1" applyFill="1" applyBorder="1" applyAlignment="1">
      <alignment vertical="center"/>
    </xf>
    <xf numFmtId="164" fontId="2" fillId="2" borderId="19" xfId="3" applyFont="1" applyFill="1" applyBorder="1" applyAlignment="1">
      <alignment horizontal="center" vertical="center"/>
    </xf>
    <xf numFmtId="49" fontId="4" fillId="2" borderId="24" xfId="3" applyNumberFormat="1" applyFont="1" applyFill="1" applyBorder="1" applyAlignment="1">
      <alignment horizontal="left" vertical="center" wrapText="1"/>
    </xf>
    <xf numFmtId="49" fontId="4" fillId="2" borderId="25" xfId="3" applyNumberFormat="1" applyFont="1" applyFill="1" applyBorder="1" applyAlignment="1">
      <alignment horizontal="left" vertical="center" wrapText="1"/>
    </xf>
    <xf numFmtId="0" fontId="10" fillId="2" borderId="25" xfId="0" applyFont="1" applyFill="1" applyBorder="1" applyAlignment="1">
      <alignment horizontal="left" vertical="center"/>
    </xf>
    <xf numFmtId="164" fontId="4" fillId="2" borderId="25" xfId="3" applyFont="1" applyFill="1" applyBorder="1" applyAlignment="1">
      <alignment vertical="center"/>
    </xf>
    <xf numFmtId="164" fontId="4" fillId="2" borderId="25" xfId="3" applyFont="1" applyFill="1" applyBorder="1" applyAlignment="1">
      <alignment horizontal="center" vertical="center"/>
    </xf>
    <xf numFmtId="164" fontId="4" fillId="2" borderId="26" xfId="3" applyFont="1" applyFill="1" applyBorder="1" applyAlignment="1">
      <alignment horizontal="center" vertical="center"/>
    </xf>
    <xf numFmtId="164" fontId="4" fillId="2" borderId="27" xfId="3" applyFont="1" applyFill="1" applyBorder="1" applyAlignment="1">
      <alignment horizontal="left" vertical="center"/>
    </xf>
    <xf numFmtId="164" fontId="4" fillId="2" borderId="28" xfId="3" applyFont="1" applyFill="1" applyBorder="1" applyAlignment="1">
      <alignment horizontal="left" vertical="center"/>
    </xf>
    <xf numFmtId="0" fontId="14" fillId="2" borderId="0" xfId="0" applyFont="1" applyFill="1" applyBorder="1" applyAlignment="1"/>
    <xf numFmtId="0" fontId="8" fillId="2" borderId="4" xfId="0" applyNumberFormat="1" applyFont="1" applyFill="1" applyBorder="1" applyAlignment="1">
      <alignment horizontal="right" vertical="center" wrapText="1"/>
    </xf>
    <xf numFmtId="0" fontId="10" fillId="2" borderId="3" xfId="0" applyFont="1" applyFill="1" applyBorder="1" applyAlignment="1">
      <alignment vertical="center"/>
    </xf>
    <xf numFmtId="0" fontId="7" fillId="2" borderId="3" xfId="0" applyNumberFormat="1" applyFont="1" applyFill="1" applyBorder="1" applyAlignment="1">
      <alignment horizontal="center" vertical="center"/>
    </xf>
    <xf numFmtId="164" fontId="10" fillId="2" borderId="3" xfId="3" applyFont="1" applyFill="1" applyBorder="1" applyAlignment="1">
      <alignment horizontal="center" vertical="center"/>
    </xf>
    <xf numFmtId="164" fontId="10" fillId="2" borderId="3" xfId="3" applyFont="1" applyFill="1" applyBorder="1"/>
    <xf numFmtId="0" fontId="0" fillId="0" borderId="3" xfId="0" applyBorder="1"/>
    <xf numFmtId="0" fontId="10" fillId="2" borderId="29" xfId="0" applyFont="1" applyFill="1" applyBorder="1" applyAlignment="1">
      <alignment vertical="center"/>
    </xf>
    <xf numFmtId="0" fontId="7" fillId="2" borderId="29" xfId="0" applyNumberFormat="1" applyFont="1" applyFill="1" applyBorder="1" applyAlignment="1">
      <alignment horizontal="center" vertical="center"/>
    </xf>
    <xf numFmtId="164" fontId="10" fillId="2" borderId="29" xfId="3" applyFont="1" applyFill="1" applyBorder="1" applyAlignment="1">
      <alignment horizontal="center" vertical="center"/>
    </xf>
    <xf numFmtId="164" fontId="11" fillId="2" borderId="3" xfId="3" applyFont="1" applyFill="1" applyBorder="1" applyAlignment="1">
      <alignment horizontal="left" vertical="center"/>
    </xf>
    <xf numFmtId="164" fontId="3" fillId="2" borderId="3" xfId="3" applyNumberFormat="1" applyFont="1" applyFill="1" applyBorder="1" applyAlignment="1">
      <alignment horizontal="center" vertical="center"/>
    </xf>
    <xf numFmtId="10" fontId="10" fillId="2" borderId="4" xfId="3" applyNumberFormat="1" applyFont="1" applyFill="1" applyBorder="1" applyAlignment="1">
      <alignment horizontal="center" vertical="center"/>
    </xf>
    <xf numFmtId="9" fontId="3" fillId="2" borderId="3" xfId="3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vertical="center"/>
    </xf>
    <xf numFmtId="0" fontId="9" fillId="2" borderId="3" xfId="0" applyNumberFormat="1" applyFont="1" applyFill="1" applyBorder="1" applyAlignment="1">
      <alignment wrapText="1"/>
    </xf>
    <xf numFmtId="164" fontId="7" fillId="2" borderId="3" xfId="0" applyNumberFormat="1" applyFont="1" applyFill="1" applyBorder="1" applyAlignment="1">
      <alignment horizontal="center"/>
    </xf>
    <xf numFmtId="10" fontId="10" fillId="2" borderId="3" xfId="3" applyNumberFormat="1" applyFont="1" applyFill="1" applyBorder="1" applyAlignment="1">
      <alignment horizontal="center"/>
    </xf>
    <xf numFmtId="164" fontId="10" fillId="4" borderId="3" xfId="3" applyFont="1" applyFill="1" applyBorder="1" applyAlignment="1"/>
    <xf numFmtId="164" fontId="10" fillId="2" borderId="3" xfId="3" applyFont="1" applyFill="1" applyBorder="1" applyAlignment="1"/>
    <xf numFmtId="0" fontId="7" fillId="2" borderId="3" xfId="0" applyFont="1" applyFill="1" applyBorder="1" applyAlignment="1"/>
    <xf numFmtId="0" fontId="7" fillId="2" borderId="3" xfId="0" applyNumberFormat="1" applyFont="1" applyFill="1" applyBorder="1" applyAlignment="1">
      <alignment horizontal="center"/>
    </xf>
    <xf numFmtId="164" fontId="10" fillId="2" borderId="3" xfId="3" applyFont="1" applyFill="1" applyBorder="1" applyAlignment="1">
      <alignment horizontal="center"/>
    </xf>
    <xf numFmtId="164" fontId="2" fillId="2" borderId="3" xfId="3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9" fillId="2" borderId="3" xfId="0" applyNumberFormat="1" applyFont="1" applyFill="1" applyBorder="1" applyAlignment="1">
      <alignment horizontal="left" vertical="center" wrapText="1"/>
    </xf>
    <xf numFmtId="164" fontId="10" fillId="4" borderId="3" xfId="3" applyFont="1" applyFill="1" applyBorder="1" applyAlignment="1">
      <alignment vertical="center"/>
    </xf>
    <xf numFmtId="0" fontId="9" fillId="2" borderId="3" xfId="0" applyNumberFormat="1" applyFont="1" applyFill="1" applyBorder="1" applyAlignment="1">
      <alignment vertical="center" wrapText="1"/>
    </xf>
    <xf numFmtId="10" fontId="10" fillId="4" borderId="3" xfId="2" applyNumberFormat="1" applyFont="1" applyFill="1" applyBorder="1" applyAlignment="1">
      <alignment horizontal="center" vertical="center"/>
    </xf>
    <xf numFmtId="164" fontId="10" fillId="4" borderId="3" xfId="3" applyFont="1" applyFill="1" applyBorder="1"/>
    <xf numFmtId="0" fontId="0" fillId="4" borderId="3" xfId="0" applyFill="1" applyBorder="1"/>
    <xf numFmtId="164" fontId="9" fillId="2" borderId="3" xfId="0" applyNumberFormat="1" applyFont="1" applyFill="1" applyBorder="1" applyAlignment="1">
      <alignment vertical="center" wrapText="1"/>
    </xf>
    <xf numFmtId="0" fontId="1" fillId="0" borderId="0" xfId="0" applyFont="1"/>
    <xf numFmtId="0" fontId="3" fillId="0" borderId="38" xfId="0" applyFont="1" applyBorder="1" applyAlignment="1" applyProtection="1">
      <alignment horizontal="left"/>
    </xf>
    <xf numFmtId="0" fontId="0" fillId="2" borderId="39" xfId="0" applyFill="1" applyBorder="1"/>
    <xf numFmtId="164" fontId="10" fillId="2" borderId="39" xfId="3" applyFont="1" applyFill="1" applyBorder="1" applyAlignment="1">
      <alignment vertical="center"/>
    </xf>
    <xf numFmtId="164" fontId="7" fillId="2" borderId="39" xfId="3" applyFont="1" applyFill="1" applyBorder="1" applyAlignment="1">
      <alignment vertical="center"/>
    </xf>
    <xf numFmtId="166" fontId="10" fillId="2" borderId="39" xfId="2" applyNumberFormat="1" applyFont="1" applyFill="1" applyBorder="1" applyAlignment="1">
      <alignment horizontal="center" vertical="center"/>
    </xf>
    <xf numFmtId="0" fontId="0" fillId="2" borderId="40" xfId="0" applyFill="1" applyBorder="1"/>
    <xf numFmtId="0" fontId="3" fillId="0" borderId="4" xfId="0" applyFont="1" applyBorder="1" applyAlignment="1" applyProtection="1">
      <alignment horizontal="left"/>
    </xf>
    <xf numFmtId="0" fontId="0" fillId="2" borderId="41" xfId="0" applyFill="1" applyBorder="1"/>
    <xf numFmtId="0" fontId="7" fillId="2" borderId="4" xfId="0" applyFont="1" applyFill="1" applyBorder="1"/>
    <xf numFmtId="164" fontId="9" fillId="2" borderId="0" xfId="0" applyNumberFormat="1" applyFont="1" applyFill="1" applyBorder="1"/>
    <xf numFmtId="0" fontId="8" fillId="2" borderId="41" xfId="0" applyFont="1" applyFill="1" applyBorder="1"/>
    <xf numFmtId="0" fontId="7" fillId="2" borderId="42" xfId="0" applyFont="1" applyFill="1" applyBorder="1" applyAlignment="1">
      <alignment vertical="center"/>
    </xf>
    <xf numFmtId="0" fontId="8" fillId="2" borderId="43" xfId="0" applyFont="1" applyFill="1" applyBorder="1" applyAlignment="1">
      <alignment horizontal="center" vertical="center"/>
    </xf>
    <xf numFmtId="0" fontId="10" fillId="2" borderId="43" xfId="0" applyNumberFormat="1" applyFont="1" applyFill="1" applyBorder="1" applyAlignment="1">
      <alignment horizontal="center" vertical="center"/>
    </xf>
    <xf numFmtId="164" fontId="10" fillId="2" borderId="43" xfId="3" applyFont="1" applyFill="1" applyBorder="1" applyAlignment="1">
      <alignment vertical="center"/>
    </xf>
    <xf numFmtId="166" fontId="10" fillId="2" borderId="43" xfId="2" applyNumberFormat="1" applyFont="1" applyFill="1" applyBorder="1" applyAlignment="1">
      <alignment horizontal="center" vertical="center"/>
    </xf>
    <xf numFmtId="0" fontId="8" fillId="2" borderId="44" xfId="0" applyFont="1" applyFill="1" applyBorder="1"/>
    <xf numFmtId="0" fontId="3" fillId="0" borderId="4" xfId="0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left"/>
    </xf>
    <xf numFmtId="0" fontId="14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9" fillId="2" borderId="16" xfId="0" applyNumberFormat="1" applyFont="1" applyFill="1" applyBorder="1" applyAlignment="1">
      <alignment vertical="center" wrapText="1"/>
    </xf>
    <xf numFmtId="0" fontId="9" fillId="2" borderId="16" xfId="0" applyFont="1" applyFill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8" fillId="2" borderId="16" xfId="0" applyFont="1" applyFill="1" applyBorder="1" applyAlignment="1">
      <alignment vertical="center" wrapText="1"/>
    </xf>
    <xf numFmtId="0" fontId="8" fillId="0" borderId="16" xfId="0" applyFont="1" applyBorder="1" applyAlignment="1">
      <alignment vertical="center" wrapText="1"/>
    </xf>
    <xf numFmtId="0" fontId="8" fillId="2" borderId="16" xfId="0" applyNumberFormat="1" applyFont="1" applyFill="1" applyBorder="1" applyAlignment="1">
      <alignment vertical="center" wrapText="1"/>
    </xf>
    <xf numFmtId="0" fontId="8" fillId="2" borderId="16" xfId="0" applyNumberFormat="1" applyFont="1" applyFill="1" applyBorder="1" applyAlignment="1">
      <alignment horizontal="right" vertical="center" wrapText="1"/>
    </xf>
    <xf numFmtId="0" fontId="11" fillId="3" borderId="16" xfId="0" applyNumberFormat="1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12" fillId="2" borderId="16" xfId="0" applyFont="1" applyFill="1" applyBorder="1" applyAlignment="1">
      <alignment horizontal="left" vertical="top" wrapText="1"/>
    </xf>
    <xf numFmtId="0" fontId="8" fillId="0" borderId="16" xfId="0" applyFont="1" applyBorder="1" applyAlignment="1">
      <alignment wrapText="1"/>
    </xf>
    <xf numFmtId="49" fontId="4" fillId="2" borderId="16" xfId="3" applyNumberFormat="1" applyFont="1" applyFill="1" applyBorder="1" applyAlignment="1">
      <alignment horizontal="left" vertical="center" wrapText="1"/>
    </xf>
    <xf numFmtId="0" fontId="8" fillId="2" borderId="16" xfId="0" applyFont="1" applyFill="1" applyBorder="1" applyAlignment="1">
      <alignment horizontal="left" vertical="center" wrapText="1"/>
    </xf>
    <xf numFmtId="49" fontId="12" fillId="2" borderId="16" xfId="3" applyNumberFormat="1" applyFont="1" applyFill="1" applyBorder="1" applyAlignment="1">
      <alignment horizontal="left" vertical="center" wrapText="1"/>
    </xf>
    <xf numFmtId="49" fontId="4" fillId="2" borderId="30" xfId="3" applyNumberFormat="1" applyFont="1" applyFill="1" applyBorder="1" applyAlignment="1">
      <alignment horizontal="left" vertical="center" wrapText="1"/>
    </xf>
    <xf numFmtId="49" fontId="4" fillId="2" borderId="31" xfId="3" applyNumberFormat="1" applyFont="1" applyFill="1" applyBorder="1" applyAlignment="1">
      <alignment horizontal="left" vertical="center" wrapText="1"/>
    </xf>
    <xf numFmtId="49" fontId="4" fillId="2" borderId="32" xfId="3" applyNumberFormat="1" applyFont="1" applyFill="1" applyBorder="1" applyAlignment="1">
      <alignment horizontal="left" vertical="center" wrapText="1"/>
    </xf>
    <xf numFmtId="166" fontId="2" fillId="2" borderId="33" xfId="2" applyNumberFormat="1" applyFont="1" applyFill="1" applyBorder="1" applyAlignment="1">
      <alignment horizontal="center" vertical="center" wrapText="1"/>
    </xf>
    <xf numFmtId="166" fontId="13" fillId="2" borderId="21" xfId="2" applyNumberFormat="1" applyFont="1" applyFill="1" applyBorder="1" applyAlignment="1">
      <alignment horizontal="center" vertical="center" wrapText="1"/>
    </xf>
    <xf numFmtId="0" fontId="2" fillId="2" borderId="20" xfId="3" applyNumberFormat="1" applyFont="1" applyFill="1" applyBorder="1" applyAlignment="1">
      <alignment horizontal="center" vertical="center" wrapText="1"/>
    </xf>
    <xf numFmtId="0" fontId="13" fillId="2" borderId="19" xfId="0" applyNumberFormat="1" applyFont="1" applyFill="1" applyBorder="1" applyAlignment="1">
      <alignment horizontal="center" vertical="center" wrapText="1"/>
    </xf>
    <xf numFmtId="165" fontId="2" fillId="2" borderId="34" xfId="3" applyNumberFormat="1" applyFont="1" applyFill="1" applyBorder="1" applyAlignment="1">
      <alignment horizontal="center" vertical="center" wrapText="1"/>
    </xf>
    <xf numFmtId="0" fontId="13" fillId="2" borderId="35" xfId="0" applyFont="1" applyFill="1" applyBorder="1" applyAlignment="1">
      <alignment horizontal="center" vertical="center" wrapText="1"/>
    </xf>
    <xf numFmtId="0" fontId="9" fillId="2" borderId="16" xfId="0" applyNumberFormat="1" applyFont="1" applyFill="1" applyBorder="1" applyAlignment="1">
      <alignment horizontal="left" vertical="center" wrapText="1"/>
    </xf>
    <xf numFmtId="0" fontId="8" fillId="2" borderId="16" xfId="0" applyNumberFormat="1" applyFont="1" applyFill="1" applyBorder="1" applyAlignment="1">
      <alignment horizontal="left" vertical="center" wrapText="1"/>
    </xf>
    <xf numFmtId="0" fontId="7" fillId="2" borderId="39" xfId="0" applyFont="1" applyFill="1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9" fillId="2" borderId="23" xfId="0" applyNumberFormat="1" applyFont="1" applyFill="1" applyBorder="1" applyAlignment="1">
      <alignment wrapText="1"/>
    </xf>
    <xf numFmtId="0" fontId="8" fillId="2" borderId="23" xfId="0" applyNumberFormat="1" applyFont="1" applyFill="1" applyBorder="1" applyAlignment="1">
      <alignment wrapText="1"/>
    </xf>
    <xf numFmtId="0" fontId="7" fillId="2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164" fontId="2" fillId="2" borderId="20" xfId="3" applyFont="1" applyFill="1" applyBorder="1" applyAlignment="1">
      <alignment horizontal="center" vertical="center" wrapText="1"/>
    </xf>
    <xf numFmtId="0" fontId="13" fillId="2" borderId="20" xfId="0" applyFont="1" applyFill="1" applyBorder="1" applyAlignment="1">
      <alignment horizontal="center" vertical="center" wrapText="1"/>
    </xf>
    <xf numFmtId="0" fontId="13" fillId="2" borderId="19" xfId="0" applyFont="1" applyFill="1" applyBorder="1" applyAlignment="1">
      <alignment horizontal="center" vertical="center" wrapText="1"/>
    </xf>
    <xf numFmtId="0" fontId="8" fillId="2" borderId="16" xfId="0" applyNumberFormat="1" applyFont="1" applyFill="1" applyBorder="1"/>
    <xf numFmtId="0" fontId="0" fillId="0" borderId="16" xfId="0" applyBorder="1" applyAlignment="1">
      <alignment vertical="center" wrapText="1"/>
    </xf>
    <xf numFmtId="164" fontId="16" fillId="2" borderId="6" xfId="3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166" fontId="16" fillId="2" borderId="36" xfId="2" applyNumberFormat="1" applyFont="1" applyFill="1" applyBorder="1" applyAlignment="1">
      <alignment horizontal="center" vertical="center" wrapText="1"/>
    </xf>
    <xf numFmtId="166" fontId="17" fillId="2" borderId="37" xfId="2" applyNumberFormat="1" applyFont="1" applyFill="1" applyBorder="1" applyAlignment="1">
      <alignment horizontal="center" vertical="center" wrapText="1"/>
    </xf>
    <xf numFmtId="165" fontId="16" fillId="2" borderId="10" xfId="3" applyNumberFormat="1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8" fillId="2" borderId="30" xfId="0" applyNumberFormat="1" applyFont="1" applyFill="1" applyBorder="1" applyAlignment="1">
      <alignment horizontal="left" vertical="center" wrapText="1"/>
    </xf>
    <xf numFmtId="0" fontId="8" fillId="2" borderId="32" xfId="0" applyNumberFormat="1" applyFont="1" applyFill="1" applyBorder="1" applyAlignment="1">
      <alignment horizontal="left" vertical="center" wrapText="1"/>
    </xf>
  </cellXfs>
  <cellStyles count="4">
    <cellStyle name="Moeda0" xfId="1"/>
    <cellStyle name="Normal" xfId="0" builtinId="0"/>
    <cellStyle name="Porcentagem" xfId="2" builtinId="5"/>
    <cellStyle name="Separador de milhares" xfId="3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DEDED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649</xdr:row>
      <xdr:rowOff>0</xdr:rowOff>
    </xdr:from>
    <xdr:to>
      <xdr:col>2</xdr:col>
      <xdr:colOff>3343275</xdr:colOff>
      <xdr:row>649</xdr:row>
      <xdr:rowOff>0</xdr:rowOff>
    </xdr:to>
    <xdr:sp macro="" textlink="">
      <xdr:nvSpPr>
        <xdr:cNvPr id="45080" name="Line 24"/>
        <xdr:cNvSpPr>
          <a:spLocks noChangeShapeType="1"/>
        </xdr:cNvSpPr>
      </xdr:nvSpPr>
      <xdr:spPr bwMode="auto">
        <a:xfrm>
          <a:off x="666750" y="136502775"/>
          <a:ext cx="4733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5067300</xdr:colOff>
      <xdr:row>649</xdr:row>
      <xdr:rowOff>0</xdr:rowOff>
    </xdr:from>
    <xdr:to>
      <xdr:col>7</xdr:col>
      <xdr:colOff>171450</xdr:colOff>
      <xdr:row>649</xdr:row>
      <xdr:rowOff>0</xdr:rowOff>
    </xdr:to>
    <xdr:sp macro="" textlink="">
      <xdr:nvSpPr>
        <xdr:cNvPr id="45082" name="Line 26"/>
        <xdr:cNvSpPr>
          <a:spLocks noChangeShapeType="1"/>
        </xdr:cNvSpPr>
      </xdr:nvSpPr>
      <xdr:spPr bwMode="auto">
        <a:xfrm>
          <a:off x="7124700" y="136502775"/>
          <a:ext cx="4171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35</xdr:row>
      <xdr:rowOff>0</xdr:rowOff>
    </xdr:from>
    <xdr:to>
      <xdr:col>2</xdr:col>
      <xdr:colOff>0</xdr:colOff>
      <xdr:row>35</xdr:row>
      <xdr:rowOff>0</xdr:rowOff>
    </xdr:to>
    <xdr:sp macro="" textlink="">
      <xdr:nvSpPr>
        <xdr:cNvPr id="53252" name="Line 4"/>
        <xdr:cNvSpPr>
          <a:spLocks noChangeShapeType="1"/>
        </xdr:cNvSpPr>
      </xdr:nvSpPr>
      <xdr:spPr bwMode="auto">
        <a:xfrm>
          <a:off x="666750" y="9077325"/>
          <a:ext cx="3667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200025</xdr:colOff>
      <xdr:row>35</xdr:row>
      <xdr:rowOff>0</xdr:rowOff>
    </xdr:from>
    <xdr:to>
      <xdr:col>5</xdr:col>
      <xdr:colOff>371475</xdr:colOff>
      <xdr:row>35</xdr:row>
      <xdr:rowOff>0</xdr:rowOff>
    </xdr:to>
    <xdr:sp macro="" textlink="">
      <xdr:nvSpPr>
        <xdr:cNvPr id="53253" name="Line 5"/>
        <xdr:cNvSpPr>
          <a:spLocks noChangeShapeType="1"/>
        </xdr:cNvSpPr>
      </xdr:nvSpPr>
      <xdr:spPr bwMode="auto">
        <a:xfrm>
          <a:off x="4533900" y="9077325"/>
          <a:ext cx="2771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35</xdr:row>
      <xdr:rowOff>0</xdr:rowOff>
    </xdr:from>
    <xdr:to>
      <xdr:col>13</xdr:col>
      <xdr:colOff>314325</xdr:colOff>
      <xdr:row>35</xdr:row>
      <xdr:rowOff>0</xdr:rowOff>
    </xdr:to>
    <xdr:sp macro="" textlink="">
      <xdr:nvSpPr>
        <xdr:cNvPr id="53260" name="Line 12"/>
        <xdr:cNvSpPr>
          <a:spLocks noChangeShapeType="1"/>
        </xdr:cNvSpPr>
      </xdr:nvSpPr>
      <xdr:spPr bwMode="auto">
        <a:xfrm>
          <a:off x="11268075" y="9077325"/>
          <a:ext cx="2914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S651"/>
  <sheetViews>
    <sheetView showZeros="0" tabSelected="1" zoomScale="90" zoomScaleNormal="90" zoomScaleSheetLayoutView="75" workbookViewId="0">
      <selection activeCell="B436" sqref="B436:C436"/>
    </sheetView>
  </sheetViews>
  <sheetFormatPr defaultRowHeight="14.25"/>
  <cols>
    <col min="1" max="1" width="17.5703125" style="13" customWidth="1"/>
    <col min="2" max="2" width="13.28515625" style="3" customWidth="1"/>
    <col min="3" max="3" width="80.42578125" style="3" customWidth="1"/>
    <col min="4" max="4" width="7.7109375" style="40" customWidth="1"/>
    <col min="5" max="5" width="14.5703125" style="40" customWidth="1"/>
    <col min="6" max="6" width="16.85546875" style="40" customWidth="1"/>
    <col min="7" max="7" width="16.42578125" style="40" customWidth="1"/>
    <col min="8" max="8" width="15.140625" style="40" customWidth="1"/>
    <col min="9" max="9" width="11.42578125" bestFit="1" customWidth="1"/>
  </cols>
  <sheetData>
    <row r="1" spans="1:19" s="1" customFormat="1" ht="12.75">
      <c r="A1" s="163" t="s">
        <v>596</v>
      </c>
      <c r="B1" s="209"/>
      <c r="C1" s="210"/>
      <c r="D1" s="210"/>
      <c r="E1" s="164"/>
      <c r="F1" s="165"/>
      <c r="G1" s="166"/>
      <c r="H1" s="167"/>
      <c r="I1" s="168"/>
    </row>
    <row r="2" spans="1:19" s="1" customFormat="1" ht="12.75">
      <c r="A2" s="169" t="s">
        <v>597</v>
      </c>
      <c r="B2" s="213"/>
      <c r="C2" s="214"/>
      <c r="D2" s="214"/>
      <c r="E2" s="115"/>
      <c r="F2" s="20"/>
      <c r="G2" s="19"/>
      <c r="H2" s="36"/>
      <c r="I2" s="170"/>
    </row>
    <row r="3" spans="1:19" s="1" customFormat="1" ht="12.75">
      <c r="A3" s="180" t="s">
        <v>520</v>
      </c>
      <c r="B3" s="181"/>
      <c r="C3" s="181"/>
      <c r="D3" s="116"/>
      <c r="E3" s="115"/>
      <c r="F3" s="20"/>
      <c r="G3" s="19"/>
      <c r="H3" s="36"/>
      <c r="I3" s="170"/>
    </row>
    <row r="4" spans="1:19" s="2" customFormat="1" ht="15">
      <c r="A4" s="171" t="s">
        <v>790</v>
      </c>
      <c r="B4" s="172">
        <f>H643/2404.47</f>
        <v>1309.72</v>
      </c>
      <c r="C4" s="182" t="s">
        <v>1039</v>
      </c>
      <c r="D4" s="183"/>
      <c r="E4" s="183"/>
      <c r="F4" s="17" t="s">
        <v>618</v>
      </c>
      <c r="G4" s="18"/>
      <c r="H4" s="36"/>
      <c r="I4" s="173"/>
    </row>
    <row r="5" spans="1:19" s="3" customFormat="1">
      <c r="A5" s="174"/>
      <c r="B5" s="175"/>
      <c r="C5" s="175"/>
      <c r="D5" s="176"/>
      <c r="E5" s="177"/>
      <c r="F5" s="177"/>
      <c r="G5" s="177"/>
      <c r="H5" s="178"/>
      <c r="I5" s="179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s="5" customFormat="1" ht="11.25">
      <c r="A6" s="205" t="s">
        <v>748</v>
      </c>
      <c r="B6" s="215" t="s">
        <v>747</v>
      </c>
      <c r="C6" s="216"/>
      <c r="D6" s="203" t="s">
        <v>759</v>
      </c>
      <c r="E6" s="97" t="s">
        <v>749</v>
      </c>
      <c r="F6" s="98" t="s">
        <v>750</v>
      </c>
      <c r="G6" s="97" t="s">
        <v>619</v>
      </c>
      <c r="H6" s="201" t="s">
        <v>758</v>
      </c>
      <c r="I6" s="201"/>
    </row>
    <row r="7" spans="1:19" s="5" customFormat="1" ht="11.25">
      <c r="A7" s="206"/>
      <c r="B7" s="217"/>
      <c r="C7" s="217"/>
      <c r="D7" s="204"/>
      <c r="E7" s="121" t="s">
        <v>1027</v>
      </c>
      <c r="F7" s="121" t="s">
        <v>1026</v>
      </c>
      <c r="G7" s="121" t="s">
        <v>477</v>
      </c>
      <c r="H7" s="202"/>
      <c r="I7" s="202"/>
    </row>
    <row r="8" spans="1:19" s="25" customFormat="1" ht="15">
      <c r="A8" s="117" t="s">
        <v>760</v>
      </c>
      <c r="B8" s="211" t="s">
        <v>203</v>
      </c>
      <c r="C8" s="212"/>
      <c r="D8" s="118"/>
      <c r="E8" s="119"/>
      <c r="F8" s="120"/>
      <c r="G8" s="120"/>
      <c r="H8" s="119"/>
      <c r="I8" s="99"/>
    </row>
    <row r="9" spans="1:19" ht="15">
      <c r="A9" s="65" t="s">
        <v>1019</v>
      </c>
      <c r="B9" s="66" t="s">
        <v>1020</v>
      </c>
      <c r="C9" s="67"/>
      <c r="D9" s="68" t="s">
        <v>761</v>
      </c>
      <c r="E9" s="69"/>
      <c r="F9" s="70"/>
      <c r="G9" s="70"/>
      <c r="H9" s="81">
        <v>0</v>
      </c>
      <c r="I9" s="71"/>
    </row>
    <row r="10" spans="1:19" ht="15">
      <c r="A10" s="65" t="s">
        <v>1021</v>
      </c>
      <c r="B10" s="66" t="s">
        <v>1022</v>
      </c>
      <c r="C10" s="67"/>
      <c r="D10" s="68" t="s">
        <v>761</v>
      </c>
      <c r="E10" s="69"/>
      <c r="F10" s="70"/>
      <c r="G10" s="70"/>
      <c r="H10" s="81">
        <v>0</v>
      </c>
      <c r="I10" s="71"/>
    </row>
    <row r="11" spans="1:19">
      <c r="A11" s="65" t="s">
        <v>762</v>
      </c>
      <c r="B11" s="189" t="s">
        <v>1023</v>
      </c>
      <c r="C11" s="218"/>
      <c r="D11" s="68" t="s">
        <v>518</v>
      </c>
      <c r="E11" s="69">
        <v>7893.68</v>
      </c>
      <c r="F11" s="70">
        <v>0.46</v>
      </c>
      <c r="G11" s="70">
        <f>E11*F11</f>
        <v>3631.09</v>
      </c>
      <c r="H11" s="81"/>
      <c r="I11" s="71"/>
    </row>
    <row r="12" spans="1:19">
      <c r="A12" s="65"/>
      <c r="B12" s="190" t="s">
        <v>525</v>
      </c>
      <c r="C12" s="188"/>
      <c r="D12" s="68"/>
      <c r="E12" s="69"/>
      <c r="F12" s="70"/>
      <c r="G12" s="74">
        <f>SUM(G11)</f>
        <v>3631.09</v>
      </c>
      <c r="H12" s="100">
        <f>G13/H643</f>
        <v>1.1999999999999999E-3</v>
      </c>
      <c r="I12" s="101"/>
    </row>
    <row r="13" spans="1:19" s="21" customFormat="1">
      <c r="A13" s="102"/>
      <c r="B13" s="191" t="s">
        <v>108</v>
      </c>
      <c r="C13" s="192"/>
      <c r="D13" s="82"/>
      <c r="E13" s="83"/>
      <c r="F13" s="84"/>
      <c r="G13" s="84">
        <f>G12*1</f>
        <v>3631.09</v>
      </c>
      <c r="H13" s="84">
        <f>G13*1</f>
        <v>3631.09</v>
      </c>
      <c r="I13" s="103"/>
    </row>
    <row r="14" spans="1:19" ht="15">
      <c r="A14" s="104" t="s">
        <v>763</v>
      </c>
      <c r="B14" s="207" t="s">
        <v>764</v>
      </c>
      <c r="C14" s="207"/>
      <c r="D14" s="68" t="s">
        <v>761</v>
      </c>
      <c r="E14" s="69"/>
      <c r="F14" s="70"/>
      <c r="G14" s="70"/>
      <c r="H14" s="81"/>
      <c r="I14" s="71"/>
    </row>
    <row r="15" spans="1:19">
      <c r="A15" s="65" t="s">
        <v>765</v>
      </c>
      <c r="B15" s="207" t="s">
        <v>766</v>
      </c>
      <c r="C15" s="208"/>
      <c r="D15" s="68" t="s">
        <v>761</v>
      </c>
      <c r="E15" s="69"/>
      <c r="F15" s="70"/>
      <c r="G15" s="70"/>
      <c r="H15" s="81"/>
      <c r="I15" s="71"/>
    </row>
    <row r="16" spans="1:19">
      <c r="A16" s="65" t="s">
        <v>767</v>
      </c>
      <c r="B16" s="184" t="s">
        <v>768</v>
      </c>
      <c r="C16" s="189"/>
      <c r="D16" s="68" t="s">
        <v>761</v>
      </c>
      <c r="E16" s="69"/>
      <c r="F16" s="70"/>
      <c r="G16" s="70"/>
      <c r="H16" s="81"/>
      <c r="I16" s="71"/>
    </row>
    <row r="17" spans="1:9">
      <c r="A17" s="65" t="s">
        <v>769</v>
      </c>
      <c r="B17" s="189" t="s">
        <v>481</v>
      </c>
      <c r="C17" s="189"/>
      <c r="D17" s="68" t="s">
        <v>752</v>
      </c>
      <c r="E17" s="69">
        <v>48</v>
      </c>
      <c r="F17" s="70">
        <v>102.95</v>
      </c>
      <c r="G17" s="70">
        <f>E17*F17</f>
        <v>4941.6000000000004</v>
      </c>
      <c r="H17" s="81"/>
      <c r="I17" s="71"/>
    </row>
    <row r="18" spans="1:9">
      <c r="A18" s="65" t="s">
        <v>349</v>
      </c>
      <c r="B18" s="189" t="s">
        <v>482</v>
      </c>
      <c r="C18" s="189"/>
      <c r="D18" s="68" t="s">
        <v>752</v>
      </c>
      <c r="E18" s="69">
        <v>72</v>
      </c>
      <c r="F18" s="70">
        <v>137.12</v>
      </c>
      <c r="G18" s="70">
        <f>E18*F18</f>
        <v>9872.64</v>
      </c>
      <c r="H18" s="81"/>
      <c r="I18" s="71"/>
    </row>
    <row r="19" spans="1:9">
      <c r="A19" s="65" t="s">
        <v>350</v>
      </c>
      <c r="B19" s="189" t="s">
        <v>483</v>
      </c>
      <c r="C19" s="189"/>
      <c r="D19" s="68" t="s">
        <v>752</v>
      </c>
      <c r="E19" s="69">
        <v>32</v>
      </c>
      <c r="F19" s="70">
        <v>102.95</v>
      </c>
      <c r="G19" s="70">
        <f>E19*F19</f>
        <v>3294.4</v>
      </c>
      <c r="H19" s="81"/>
      <c r="I19" s="71"/>
    </row>
    <row r="20" spans="1:9">
      <c r="A20" s="65" t="s">
        <v>351</v>
      </c>
      <c r="B20" s="189" t="s">
        <v>484</v>
      </c>
      <c r="C20" s="189"/>
      <c r="D20" s="68" t="s">
        <v>752</v>
      </c>
      <c r="E20" s="69">
        <v>40</v>
      </c>
      <c r="F20" s="70">
        <v>102.95</v>
      </c>
      <c r="G20" s="70">
        <f>E20*F20</f>
        <v>4118</v>
      </c>
      <c r="H20" s="81"/>
      <c r="I20" s="71"/>
    </row>
    <row r="21" spans="1:9">
      <c r="A21" s="65" t="s">
        <v>352</v>
      </c>
      <c r="B21" s="189" t="s">
        <v>485</v>
      </c>
      <c r="C21" s="189"/>
      <c r="D21" s="68" t="s">
        <v>752</v>
      </c>
      <c r="E21" s="69">
        <v>30</v>
      </c>
      <c r="F21" s="70">
        <v>102.95</v>
      </c>
      <c r="G21" s="70">
        <f>E21*F21</f>
        <v>3088.5</v>
      </c>
      <c r="H21" s="81"/>
      <c r="I21" s="71"/>
    </row>
    <row r="22" spans="1:9">
      <c r="A22" s="65"/>
      <c r="B22" s="190" t="s">
        <v>525</v>
      </c>
      <c r="C22" s="188"/>
      <c r="D22" s="68"/>
      <c r="E22" s="69"/>
      <c r="F22" s="70"/>
      <c r="G22" s="74">
        <f>SUM(G17:G21)</f>
        <v>25315.14</v>
      </c>
      <c r="H22" s="81"/>
      <c r="I22" s="71"/>
    </row>
    <row r="23" spans="1:9">
      <c r="A23" s="65" t="s">
        <v>770</v>
      </c>
      <c r="B23" s="184" t="s">
        <v>771</v>
      </c>
      <c r="C23" s="189"/>
      <c r="D23" s="68" t="s">
        <v>761</v>
      </c>
      <c r="E23" s="69"/>
      <c r="F23" s="70"/>
      <c r="G23" s="70"/>
      <c r="H23" s="81">
        <v>0</v>
      </c>
      <c r="I23" s="71"/>
    </row>
    <row r="24" spans="1:9">
      <c r="A24" s="65" t="s">
        <v>772</v>
      </c>
      <c r="B24" s="189" t="s">
        <v>418</v>
      </c>
      <c r="C24" s="189"/>
      <c r="D24" s="68" t="s">
        <v>756</v>
      </c>
      <c r="E24" s="69">
        <v>1</v>
      </c>
      <c r="F24" s="70">
        <v>1130.9100000000001</v>
      </c>
      <c r="G24" s="70">
        <f>E24*F24</f>
        <v>1130.9100000000001</v>
      </c>
      <c r="H24" s="81"/>
      <c r="I24" s="71"/>
    </row>
    <row r="25" spans="1:9">
      <c r="A25" s="65" t="s">
        <v>773</v>
      </c>
      <c r="B25" s="189" t="s">
        <v>419</v>
      </c>
      <c r="C25" s="189"/>
      <c r="D25" s="68" t="s">
        <v>756</v>
      </c>
      <c r="E25" s="69">
        <v>1</v>
      </c>
      <c r="F25" s="70">
        <v>621.66999999999996</v>
      </c>
      <c r="G25" s="70">
        <f>E25*F25</f>
        <v>621.66999999999996</v>
      </c>
      <c r="H25" s="81"/>
      <c r="I25" s="71"/>
    </row>
    <row r="26" spans="1:9">
      <c r="A26" s="65"/>
      <c r="B26" s="190" t="s">
        <v>525</v>
      </c>
      <c r="C26" s="188"/>
      <c r="D26" s="68"/>
      <c r="E26" s="69"/>
      <c r="F26" s="70"/>
      <c r="G26" s="74">
        <f>SUM(G24:G25)</f>
        <v>1752.58</v>
      </c>
      <c r="H26" s="81"/>
      <c r="I26" s="71"/>
    </row>
    <row r="27" spans="1:9">
      <c r="A27" s="65" t="s">
        <v>774</v>
      </c>
      <c r="B27" s="184" t="s">
        <v>775</v>
      </c>
      <c r="C27" s="189"/>
      <c r="D27" s="68" t="s">
        <v>761</v>
      </c>
      <c r="E27" s="69"/>
      <c r="F27" s="70"/>
      <c r="G27" s="70"/>
      <c r="H27" s="81"/>
      <c r="I27" s="71"/>
    </row>
    <row r="28" spans="1:9">
      <c r="A28" s="65" t="s">
        <v>776</v>
      </c>
      <c r="B28" s="189" t="s">
        <v>157</v>
      </c>
      <c r="C28" s="189"/>
      <c r="D28" s="68" t="s">
        <v>752</v>
      </c>
      <c r="E28" s="69">
        <v>630</v>
      </c>
      <c r="F28" s="69">
        <v>24.71</v>
      </c>
      <c r="G28" s="70">
        <f>E28*F28</f>
        <v>15567.3</v>
      </c>
      <c r="H28" s="81"/>
      <c r="I28" s="71"/>
    </row>
    <row r="29" spans="1:9">
      <c r="A29" s="65" t="s">
        <v>478</v>
      </c>
      <c r="B29" s="189" t="s">
        <v>420</v>
      </c>
      <c r="C29" s="189"/>
      <c r="D29" s="68" t="s">
        <v>752</v>
      </c>
      <c r="E29" s="69">
        <v>1260</v>
      </c>
      <c r="F29" s="70">
        <v>3.32</v>
      </c>
      <c r="G29" s="70">
        <f>E29*F29</f>
        <v>4183.2</v>
      </c>
      <c r="H29" s="81"/>
      <c r="I29" s="71"/>
    </row>
    <row r="30" spans="1:9">
      <c r="A30" s="65" t="s">
        <v>479</v>
      </c>
      <c r="B30" s="189" t="s">
        <v>480</v>
      </c>
      <c r="C30" s="189"/>
      <c r="D30" s="68" t="s">
        <v>752</v>
      </c>
      <c r="E30" s="69">
        <v>12</v>
      </c>
      <c r="F30" s="70">
        <v>188.41</v>
      </c>
      <c r="G30" s="70">
        <f>E30*F30</f>
        <v>2260.92</v>
      </c>
      <c r="H30" s="81"/>
      <c r="I30" s="71"/>
    </row>
    <row r="31" spans="1:9">
      <c r="A31" s="65"/>
      <c r="B31" s="190" t="s">
        <v>525</v>
      </c>
      <c r="C31" s="188"/>
      <c r="D31" s="68"/>
      <c r="E31" s="69"/>
      <c r="F31" s="70"/>
      <c r="G31" s="74">
        <f>SUM(G28:G30)</f>
        <v>22011.42</v>
      </c>
      <c r="H31" s="81"/>
      <c r="I31" s="71"/>
    </row>
    <row r="32" spans="1:9" ht="15">
      <c r="A32" s="65" t="s">
        <v>778</v>
      </c>
      <c r="B32" s="66" t="s">
        <v>488</v>
      </c>
      <c r="C32" s="66"/>
      <c r="D32" s="68" t="s">
        <v>761</v>
      </c>
      <c r="E32" s="69"/>
      <c r="F32" s="70"/>
      <c r="G32" s="70"/>
      <c r="H32" s="81"/>
      <c r="I32" s="71"/>
    </row>
    <row r="33" spans="1:9">
      <c r="A33" s="65" t="s">
        <v>779</v>
      </c>
      <c r="B33" s="189" t="s">
        <v>548</v>
      </c>
      <c r="C33" s="189"/>
      <c r="D33" s="68" t="s">
        <v>752</v>
      </c>
      <c r="E33" s="69">
        <v>2404</v>
      </c>
      <c r="F33" s="70">
        <v>2.73</v>
      </c>
      <c r="G33" s="70">
        <f>E33*F33</f>
        <v>6562.92</v>
      </c>
      <c r="H33" s="81"/>
      <c r="I33" s="71"/>
    </row>
    <row r="34" spans="1:9">
      <c r="A34" s="65"/>
      <c r="B34" s="190" t="s">
        <v>525</v>
      </c>
      <c r="C34" s="188"/>
      <c r="D34" s="68"/>
      <c r="E34" s="69"/>
      <c r="F34" s="70"/>
      <c r="G34" s="74">
        <v>6562.92</v>
      </c>
      <c r="H34" s="81"/>
      <c r="I34" s="71"/>
    </row>
    <row r="35" spans="1:9" ht="15">
      <c r="A35" s="65" t="s">
        <v>353</v>
      </c>
      <c r="B35" s="75" t="s">
        <v>354</v>
      </c>
      <c r="C35" s="75"/>
      <c r="D35" s="68"/>
      <c r="E35" s="69"/>
      <c r="F35" s="70"/>
      <c r="G35" s="70"/>
      <c r="H35" s="81"/>
      <c r="I35" s="71"/>
    </row>
    <row r="36" spans="1:9">
      <c r="A36" s="65" t="s">
        <v>355</v>
      </c>
      <c r="B36" s="187" t="s">
        <v>522</v>
      </c>
      <c r="C36" s="188"/>
      <c r="D36" s="68" t="s">
        <v>752</v>
      </c>
      <c r="E36" s="69">
        <v>6500</v>
      </c>
      <c r="F36" s="70">
        <v>0.98</v>
      </c>
      <c r="G36" s="70">
        <f>E36*F36</f>
        <v>6370</v>
      </c>
      <c r="H36" s="81"/>
      <c r="I36" s="71"/>
    </row>
    <row r="37" spans="1:9">
      <c r="A37" s="65" t="s">
        <v>356</v>
      </c>
      <c r="B37" s="187" t="s">
        <v>523</v>
      </c>
      <c r="C37" s="188"/>
      <c r="D37" s="68" t="s">
        <v>756</v>
      </c>
      <c r="E37" s="69">
        <v>8</v>
      </c>
      <c r="F37" s="70">
        <v>350</v>
      </c>
      <c r="G37" s="70">
        <f>E37*F37</f>
        <v>2800</v>
      </c>
      <c r="H37" s="81"/>
      <c r="I37" s="71"/>
    </row>
    <row r="38" spans="1:9">
      <c r="A38" s="65" t="s">
        <v>357</v>
      </c>
      <c r="B38" s="187" t="s">
        <v>446</v>
      </c>
      <c r="C38" s="188"/>
      <c r="D38" s="68" t="s">
        <v>753</v>
      </c>
      <c r="E38" s="69">
        <v>930</v>
      </c>
      <c r="F38" s="70">
        <v>9.6300000000000008</v>
      </c>
      <c r="G38" s="70">
        <f>E38*F38</f>
        <v>8955.9</v>
      </c>
      <c r="H38" s="81"/>
      <c r="I38" s="71"/>
    </row>
    <row r="39" spans="1:9">
      <c r="A39" s="65" t="s">
        <v>358</v>
      </c>
      <c r="B39" s="187" t="s">
        <v>447</v>
      </c>
      <c r="C39" s="188"/>
      <c r="D39" s="68" t="s">
        <v>753</v>
      </c>
      <c r="E39" s="69">
        <v>1240</v>
      </c>
      <c r="F39" s="70">
        <v>15.85</v>
      </c>
      <c r="G39" s="70">
        <f>E39*F39</f>
        <v>19654</v>
      </c>
      <c r="H39" s="81"/>
      <c r="I39" s="71"/>
    </row>
    <row r="40" spans="1:9">
      <c r="A40" s="65"/>
      <c r="B40" s="190" t="s">
        <v>525</v>
      </c>
      <c r="C40" s="188"/>
      <c r="D40" s="68"/>
      <c r="E40" s="69"/>
      <c r="F40" s="70"/>
      <c r="G40" s="74">
        <f>SUM(G36:G39)</f>
        <v>37779.9</v>
      </c>
      <c r="H40" s="100">
        <f>G41/H643</f>
        <v>2.9700000000000001E-2</v>
      </c>
      <c r="I40" s="101"/>
    </row>
    <row r="41" spans="1:9" s="21" customFormat="1">
      <c r="A41" s="102"/>
      <c r="B41" s="191" t="s">
        <v>108</v>
      </c>
      <c r="C41" s="192"/>
      <c r="D41" s="82"/>
      <c r="E41" s="83"/>
      <c r="F41" s="84"/>
      <c r="G41" s="84">
        <f>G22+G26+G31+G34+G40</f>
        <v>93421.96</v>
      </c>
      <c r="H41" s="84">
        <f>G41*1</f>
        <v>93421.96</v>
      </c>
      <c r="I41" s="103"/>
    </row>
    <row r="42" spans="1:9" ht="15">
      <c r="A42" s="65" t="s">
        <v>780</v>
      </c>
      <c r="B42" s="184" t="s">
        <v>781</v>
      </c>
      <c r="C42" s="184"/>
      <c r="D42" s="68" t="s">
        <v>761</v>
      </c>
      <c r="E42" s="69"/>
      <c r="F42" s="70"/>
      <c r="G42" s="70"/>
      <c r="H42" s="81">
        <v>0</v>
      </c>
      <c r="I42" s="71"/>
    </row>
    <row r="43" spans="1:9" ht="15">
      <c r="A43" s="65" t="s">
        <v>782</v>
      </c>
      <c r="B43" s="184" t="s">
        <v>947</v>
      </c>
      <c r="C43" s="184"/>
      <c r="D43" s="68" t="s">
        <v>761</v>
      </c>
      <c r="E43" s="69"/>
      <c r="F43" s="70"/>
      <c r="G43" s="70"/>
      <c r="H43" s="81">
        <v>0</v>
      </c>
      <c r="I43" s="71"/>
    </row>
    <row r="44" spans="1:9" ht="15">
      <c r="A44" s="65" t="s">
        <v>948</v>
      </c>
      <c r="B44" s="184" t="s">
        <v>949</v>
      </c>
      <c r="C44" s="184"/>
      <c r="D44" s="68" t="s">
        <v>761</v>
      </c>
      <c r="E44" s="69"/>
      <c r="F44" s="70"/>
      <c r="G44" s="70"/>
      <c r="H44" s="81"/>
      <c r="I44" s="71"/>
    </row>
    <row r="45" spans="1:9">
      <c r="A45" s="65" t="s">
        <v>950</v>
      </c>
      <c r="B45" s="189" t="s">
        <v>521</v>
      </c>
      <c r="C45" s="189"/>
      <c r="D45" s="68" t="s">
        <v>753</v>
      </c>
      <c r="E45" s="69">
        <v>400</v>
      </c>
      <c r="F45" s="70">
        <v>14.24</v>
      </c>
      <c r="G45" s="70">
        <f>E45*F45</f>
        <v>5696</v>
      </c>
      <c r="H45" s="81"/>
      <c r="I45" s="71"/>
    </row>
    <row r="46" spans="1:9">
      <c r="A46" s="65"/>
      <c r="B46" s="190" t="s">
        <v>525</v>
      </c>
      <c r="C46" s="188"/>
      <c r="D46" s="68"/>
      <c r="E46" s="69"/>
      <c r="F46" s="70"/>
      <c r="G46" s="74">
        <f>SUM(G45)</f>
        <v>5696</v>
      </c>
      <c r="H46" s="81"/>
      <c r="I46" s="71"/>
    </row>
    <row r="47" spans="1:9" ht="15">
      <c r="A47" s="65" t="s">
        <v>951</v>
      </c>
      <c r="B47" s="184" t="s">
        <v>783</v>
      </c>
      <c r="C47" s="184"/>
      <c r="D47" s="68" t="s">
        <v>761</v>
      </c>
      <c r="E47" s="69"/>
      <c r="F47" s="70"/>
      <c r="G47" s="70"/>
      <c r="H47" s="81"/>
      <c r="I47" s="71"/>
    </row>
    <row r="48" spans="1:9">
      <c r="A48" s="65" t="s">
        <v>158</v>
      </c>
      <c r="B48" s="189" t="s">
        <v>1083</v>
      </c>
      <c r="C48" s="189"/>
      <c r="D48" s="68" t="s">
        <v>753</v>
      </c>
      <c r="E48" s="69">
        <v>266</v>
      </c>
      <c r="F48" s="70">
        <v>15.85</v>
      </c>
      <c r="G48" s="70">
        <f>E48*F48</f>
        <v>4216.1000000000004</v>
      </c>
      <c r="H48" s="81"/>
      <c r="I48" s="71"/>
    </row>
    <row r="49" spans="1:9">
      <c r="A49" s="65"/>
      <c r="B49" s="190" t="s">
        <v>525</v>
      </c>
      <c r="C49" s="188"/>
      <c r="D49" s="68"/>
      <c r="E49" s="69"/>
      <c r="F49" s="70"/>
      <c r="G49" s="74">
        <f>SUM(G48)</f>
        <v>4216.1000000000004</v>
      </c>
      <c r="H49" s="81"/>
      <c r="I49" s="71"/>
    </row>
    <row r="50" spans="1:9" ht="15">
      <c r="A50" s="65" t="s">
        <v>359</v>
      </c>
      <c r="B50" s="184" t="s">
        <v>360</v>
      </c>
      <c r="C50" s="184"/>
      <c r="D50" s="68" t="s">
        <v>761</v>
      </c>
      <c r="E50" s="69"/>
      <c r="F50" s="70"/>
      <c r="G50" s="70"/>
      <c r="H50" s="81"/>
      <c r="I50" s="71"/>
    </row>
    <row r="51" spans="1:9">
      <c r="A51" s="65" t="s">
        <v>361</v>
      </c>
      <c r="B51" s="189" t="s">
        <v>524</v>
      </c>
      <c r="C51" s="189"/>
      <c r="D51" s="68" t="s">
        <v>755</v>
      </c>
      <c r="E51" s="69">
        <v>2387</v>
      </c>
      <c r="F51" s="70">
        <v>13.12</v>
      </c>
      <c r="G51" s="70">
        <f>E51*F51</f>
        <v>31317.439999999999</v>
      </c>
      <c r="H51" s="81"/>
      <c r="I51" s="71"/>
    </row>
    <row r="52" spans="1:9">
      <c r="A52" s="65" t="s">
        <v>362</v>
      </c>
      <c r="B52" s="189" t="s">
        <v>448</v>
      </c>
      <c r="C52" s="189"/>
      <c r="D52" s="68" t="s">
        <v>753</v>
      </c>
      <c r="E52" s="69">
        <v>757</v>
      </c>
      <c r="F52" s="70">
        <v>233.46</v>
      </c>
      <c r="G52" s="70">
        <f>E52*F52</f>
        <v>176729.22</v>
      </c>
      <c r="H52" s="81"/>
      <c r="I52" s="71"/>
    </row>
    <row r="53" spans="1:9">
      <c r="A53" s="65" t="s">
        <v>159</v>
      </c>
      <c r="B53" s="189" t="s">
        <v>449</v>
      </c>
      <c r="C53" s="189"/>
      <c r="D53" s="68" t="s">
        <v>754</v>
      </c>
      <c r="E53" s="69">
        <v>3764</v>
      </c>
      <c r="F53" s="70">
        <v>4.91</v>
      </c>
      <c r="G53" s="70">
        <f>E53*F53</f>
        <v>18481.240000000002</v>
      </c>
      <c r="H53" s="81"/>
      <c r="I53" s="71"/>
    </row>
    <row r="54" spans="1:9">
      <c r="A54" s="65"/>
      <c r="B54" s="190" t="s">
        <v>525</v>
      </c>
      <c r="C54" s="188"/>
      <c r="D54" s="68"/>
      <c r="E54" s="69"/>
      <c r="F54" s="70"/>
      <c r="G54" s="74">
        <f>SUM(G51:G53)</f>
        <v>226527.9</v>
      </c>
      <c r="H54" s="81"/>
      <c r="I54" s="71"/>
    </row>
    <row r="55" spans="1:9" ht="15">
      <c r="A55" s="65" t="s">
        <v>422</v>
      </c>
      <c r="B55" s="184" t="s">
        <v>421</v>
      </c>
      <c r="C55" s="184"/>
      <c r="D55" s="68" t="s">
        <v>761</v>
      </c>
      <c r="E55" s="69"/>
      <c r="F55" s="70"/>
      <c r="G55" s="70"/>
      <c r="H55" s="81"/>
      <c r="I55" s="71"/>
    </row>
    <row r="56" spans="1:9">
      <c r="A56" s="65" t="s">
        <v>426</v>
      </c>
      <c r="B56" s="189" t="s">
        <v>450</v>
      </c>
      <c r="C56" s="189"/>
      <c r="D56" s="68" t="s">
        <v>752</v>
      </c>
      <c r="E56" s="69">
        <v>445</v>
      </c>
      <c r="F56" s="69">
        <v>19.25</v>
      </c>
      <c r="G56" s="70">
        <f>E56*F56</f>
        <v>8566.25</v>
      </c>
      <c r="H56" s="81"/>
      <c r="I56" s="71"/>
    </row>
    <row r="57" spans="1:9">
      <c r="A57" s="65" t="s">
        <v>427</v>
      </c>
      <c r="B57" s="189" t="s">
        <v>160</v>
      </c>
      <c r="C57" s="189"/>
      <c r="D57" s="68" t="s">
        <v>752</v>
      </c>
      <c r="E57" s="69">
        <v>445</v>
      </c>
      <c r="F57" s="70">
        <v>4.71</v>
      </c>
      <c r="G57" s="70">
        <f>E57*F57</f>
        <v>2095.9499999999998</v>
      </c>
      <c r="H57" s="81"/>
      <c r="I57" s="71"/>
    </row>
    <row r="58" spans="1:9">
      <c r="A58" s="65" t="s">
        <v>424</v>
      </c>
      <c r="B58" s="187" t="s">
        <v>451</v>
      </c>
      <c r="C58" s="188"/>
      <c r="D58" s="68" t="s">
        <v>753</v>
      </c>
      <c r="E58" s="69">
        <v>91</v>
      </c>
      <c r="F58" s="70">
        <v>233.46</v>
      </c>
      <c r="G58" s="70">
        <f>E58*F58</f>
        <v>21244.86</v>
      </c>
      <c r="H58" s="81"/>
      <c r="I58" s="71"/>
    </row>
    <row r="59" spans="1:9">
      <c r="A59" s="65" t="s">
        <v>425</v>
      </c>
      <c r="B59" s="189" t="s">
        <v>583</v>
      </c>
      <c r="C59" s="189"/>
      <c r="D59" s="68" t="s">
        <v>753</v>
      </c>
      <c r="E59" s="69">
        <v>91</v>
      </c>
      <c r="F59" s="70">
        <v>31.97</v>
      </c>
      <c r="G59" s="70">
        <f>E59*F59</f>
        <v>2909.27</v>
      </c>
      <c r="H59" s="81"/>
      <c r="I59" s="71"/>
    </row>
    <row r="60" spans="1:9">
      <c r="A60" s="65" t="s">
        <v>423</v>
      </c>
      <c r="B60" s="189" t="s">
        <v>493</v>
      </c>
      <c r="C60" s="189"/>
      <c r="D60" s="68" t="s">
        <v>754</v>
      </c>
      <c r="E60" s="69">
        <v>3242</v>
      </c>
      <c r="F60" s="70">
        <v>4.91</v>
      </c>
      <c r="G60" s="70">
        <f>E60*F60</f>
        <v>15918.22</v>
      </c>
      <c r="H60" s="81"/>
      <c r="I60" s="71"/>
    </row>
    <row r="61" spans="1:9">
      <c r="A61" s="65"/>
      <c r="B61" s="190" t="s">
        <v>525</v>
      </c>
      <c r="C61" s="188"/>
      <c r="D61" s="68"/>
      <c r="E61" s="69"/>
      <c r="F61" s="70"/>
      <c r="G61" s="74">
        <f>SUM(G56:G60)</f>
        <v>50734.55</v>
      </c>
      <c r="H61" s="81"/>
      <c r="I61" s="71"/>
    </row>
    <row r="62" spans="1:9" ht="15">
      <c r="A62" s="65" t="s">
        <v>529</v>
      </c>
      <c r="B62" s="184" t="s">
        <v>528</v>
      </c>
      <c r="C62" s="184"/>
      <c r="D62" s="68" t="s">
        <v>761</v>
      </c>
      <c r="E62" s="69"/>
      <c r="F62" s="70"/>
      <c r="G62" s="70"/>
      <c r="H62" s="81"/>
      <c r="I62" s="71"/>
    </row>
    <row r="63" spans="1:9">
      <c r="A63" s="65" t="s">
        <v>530</v>
      </c>
      <c r="B63" s="189" t="s">
        <v>450</v>
      </c>
      <c r="C63" s="189"/>
      <c r="D63" s="68" t="s">
        <v>752</v>
      </c>
      <c r="E63" s="69">
        <v>592</v>
      </c>
      <c r="F63" s="69">
        <v>19.25</v>
      </c>
      <c r="G63" s="70">
        <f>E63*F63</f>
        <v>11396</v>
      </c>
      <c r="H63" s="81"/>
      <c r="I63" s="71"/>
    </row>
    <row r="64" spans="1:9">
      <c r="A64" s="65" t="s">
        <v>531</v>
      </c>
      <c r="B64" s="189" t="s">
        <v>160</v>
      </c>
      <c r="C64" s="189"/>
      <c r="D64" s="68" t="s">
        <v>752</v>
      </c>
      <c r="E64" s="69">
        <v>592</v>
      </c>
      <c r="F64" s="70">
        <v>4.71</v>
      </c>
      <c r="G64" s="70">
        <f>E64*F64</f>
        <v>2788.32</v>
      </c>
      <c r="H64" s="81"/>
      <c r="I64" s="71"/>
    </row>
    <row r="65" spans="1:9">
      <c r="A65" s="65" t="s">
        <v>532</v>
      </c>
      <c r="B65" s="187" t="s">
        <v>451</v>
      </c>
      <c r="C65" s="188"/>
      <c r="D65" s="68" t="s">
        <v>753</v>
      </c>
      <c r="E65" s="69">
        <v>42</v>
      </c>
      <c r="F65" s="70">
        <v>233.46</v>
      </c>
      <c r="G65" s="70">
        <f>E65*F65</f>
        <v>9805.32</v>
      </c>
      <c r="H65" s="81"/>
      <c r="I65" s="71"/>
    </row>
    <row r="66" spans="1:9">
      <c r="A66" s="65" t="s">
        <v>533</v>
      </c>
      <c r="B66" s="189" t="s">
        <v>583</v>
      </c>
      <c r="C66" s="189"/>
      <c r="D66" s="68" t="s">
        <v>753</v>
      </c>
      <c r="E66" s="69">
        <v>42</v>
      </c>
      <c r="F66" s="70">
        <v>31.97</v>
      </c>
      <c r="G66" s="70">
        <f>E66*F66</f>
        <v>1342.74</v>
      </c>
      <c r="H66" s="81"/>
      <c r="I66" s="71"/>
    </row>
    <row r="67" spans="1:9">
      <c r="A67" s="65" t="s">
        <v>534</v>
      </c>
      <c r="B67" s="189" t="s">
        <v>494</v>
      </c>
      <c r="C67" s="189"/>
      <c r="D67" s="68" t="s">
        <v>754</v>
      </c>
      <c r="E67" s="69">
        <v>3760</v>
      </c>
      <c r="F67" s="70">
        <v>4.91</v>
      </c>
      <c r="G67" s="70">
        <f>E67*F67</f>
        <v>18461.599999999999</v>
      </c>
      <c r="H67" s="81"/>
      <c r="I67" s="71"/>
    </row>
    <row r="68" spans="1:9">
      <c r="A68" s="65"/>
      <c r="B68" s="190" t="s">
        <v>525</v>
      </c>
      <c r="C68" s="188"/>
      <c r="D68" s="68"/>
      <c r="E68" s="69"/>
      <c r="F68" s="70"/>
      <c r="G68" s="74">
        <f>SUM(G63:G67)</f>
        <v>43793.98</v>
      </c>
      <c r="H68" s="81"/>
      <c r="I68" s="71"/>
    </row>
    <row r="69" spans="1:9" ht="15">
      <c r="A69" s="65" t="s">
        <v>601</v>
      </c>
      <c r="B69" s="184" t="s">
        <v>602</v>
      </c>
      <c r="C69" s="184"/>
      <c r="D69" s="68" t="s">
        <v>761</v>
      </c>
      <c r="E69" s="69"/>
      <c r="F69" s="70"/>
      <c r="G69" s="70"/>
      <c r="H69" s="81"/>
      <c r="I69" s="71"/>
    </row>
    <row r="70" spans="1:9" ht="15">
      <c r="A70" s="65" t="s">
        <v>603</v>
      </c>
      <c r="B70" s="185" t="s">
        <v>604</v>
      </c>
      <c r="C70" s="186"/>
      <c r="D70" s="76" t="s">
        <v>761</v>
      </c>
      <c r="E70" s="69"/>
      <c r="F70" s="70"/>
      <c r="G70" s="70"/>
      <c r="H70" s="81"/>
      <c r="I70" s="71"/>
    </row>
    <row r="71" spans="1:9" ht="15">
      <c r="A71" s="65" t="s">
        <v>605</v>
      </c>
      <c r="B71" s="185" t="s">
        <v>363</v>
      </c>
      <c r="C71" s="186"/>
      <c r="D71" s="76" t="s">
        <v>761</v>
      </c>
      <c r="E71" s="69"/>
      <c r="F71" s="70"/>
      <c r="G71" s="70"/>
      <c r="H71" s="81"/>
      <c r="I71" s="71"/>
    </row>
    <row r="72" spans="1:9">
      <c r="A72" s="65" t="s">
        <v>994</v>
      </c>
      <c r="B72" s="187" t="s">
        <v>526</v>
      </c>
      <c r="C72" s="188"/>
      <c r="D72" s="68" t="s">
        <v>752</v>
      </c>
      <c r="E72" s="69">
        <v>620</v>
      </c>
      <c r="F72" s="70">
        <v>32.61</v>
      </c>
      <c r="G72" s="70">
        <f>E72*F72</f>
        <v>20218.2</v>
      </c>
      <c r="H72" s="81"/>
      <c r="I72" s="71"/>
    </row>
    <row r="73" spans="1:9">
      <c r="A73" s="65" t="s">
        <v>995</v>
      </c>
      <c r="B73" s="187" t="s">
        <v>160</v>
      </c>
      <c r="C73" s="188"/>
      <c r="D73" s="68" t="s">
        <v>752</v>
      </c>
      <c r="E73" s="69">
        <v>768</v>
      </c>
      <c r="F73" s="70">
        <v>4.22</v>
      </c>
      <c r="G73" s="70">
        <f>E73*F73</f>
        <v>3240.96</v>
      </c>
      <c r="H73" s="81"/>
      <c r="I73" s="71"/>
    </row>
    <row r="74" spans="1:9">
      <c r="A74" s="65" t="s">
        <v>996</v>
      </c>
      <c r="B74" s="187" t="s">
        <v>527</v>
      </c>
      <c r="C74" s="188"/>
      <c r="D74" s="68" t="s">
        <v>752</v>
      </c>
      <c r="E74" s="69">
        <v>148</v>
      </c>
      <c r="F74" s="70">
        <v>35.74</v>
      </c>
      <c r="G74" s="70">
        <f>E74*F74</f>
        <v>5289.52</v>
      </c>
      <c r="H74" s="81"/>
      <c r="I74" s="71"/>
    </row>
    <row r="75" spans="1:9">
      <c r="A75" s="65" t="s">
        <v>606</v>
      </c>
      <c r="B75" s="187" t="s">
        <v>452</v>
      </c>
      <c r="C75" s="188"/>
      <c r="D75" s="68" t="s">
        <v>754</v>
      </c>
      <c r="E75" s="69">
        <v>6060</v>
      </c>
      <c r="F75" s="70">
        <v>4.91</v>
      </c>
      <c r="G75" s="70">
        <f>E75*F75</f>
        <v>29754.6</v>
      </c>
      <c r="H75" s="81"/>
      <c r="I75" s="71"/>
    </row>
    <row r="76" spans="1:9">
      <c r="A76" s="65" t="s">
        <v>607</v>
      </c>
      <c r="B76" s="187" t="s">
        <v>451</v>
      </c>
      <c r="C76" s="188"/>
      <c r="D76" s="76" t="s">
        <v>753</v>
      </c>
      <c r="E76" s="69">
        <v>62</v>
      </c>
      <c r="F76" s="70">
        <v>212.15</v>
      </c>
      <c r="G76" s="70">
        <f>E76*F76</f>
        <v>13153.3</v>
      </c>
      <c r="H76" s="81"/>
      <c r="I76" s="71"/>
    </row>
    <row r="77" spans="1:9">
      <c r="A77" s="65"/>
      <c r="B77" s="190" t="s">
        <v>525</v>
      </c>
      <c r="C77" s="188"/>
      <c r="D77" s="68"/>
      <c r="E77" s="69"/>
      <c r="F77" s="70"/>
      <c r="G77" s="74">
        <f>SUM(G72:G76)</f>
        <v>71656.58</v>
      </c>
      <c r="H77" s="81"/>
      <c r="I77" s="71"/>
    </row>
    <row r="78" spans="1:9" ht="15">
      <c r="A78" s="65" t="s">
        <v>364</v>
      </c>
      <c r="B78" s="185" t="s">
        <v>535</v>
      </c>
      <c r="C78" s="186"/>
      <c r="D78" s="76" t="s">
        <v>777</v>
      </c>
      <c r="E78" s="69"/>
      <c r="F78" s="70"/>
      <c r="G78" s="70"/>
      <c r="H78" s="81"/>
      <c r="I78" s="71"/>
    </row>
    <row r="79" spans="1:9">
      <c r="A79" s="65" t="s">
        <v>365</v>
      </c>
      <c r="B79" s="187" t="s">
        <v>526</v>
      </c>
      <c r="C79" s="188"/>
      <c r="D79" s="68" t="s">
        <v>752</v>
      </c>
      <c r="E79" s="69">
        <v>2657</v>
      </c>
      <c r="F79" s="70">
        <v>32.61</v>
      </c>
      <c r="G79" s="70">
        <f>E79*F79</f>
        <v>86644.77</v>
      </c>
      <c r="H79" s="81"/>
      <c r="I79" s="71"/>
    </row>
    <row r="80" spans="1:9">
      <c r="A80" s="65" t="s">
        <v>542</v>
      </c>
      <c r="B80" s="187" t="s">
        <v>160</v>
      </c>
      <c r="C80" s="188"/>
      <c r="D80" s="68" t="s">
        <v>752</v>
      </c>
      <c r="E80" s="69">
        <v>2657</v>
      </c>
      <c r="F80" s="70">
        <v>4.22</v>
      </c>
      <c r="G80" s="70">
        <f>E80*F80</f>
        <v>11212.54</v>
      </c>
      <c r="H80" s="81"/>
      <c r="I80" s="71"/>
    </row>
    <row r="81" spans="1:9">
      <c r="A81" s="65" t="s">
        <v>366</v>
      </c>
      <c r="B81" s="187" t="s">
        <v>452</v>
      </c>
      <c r="C81" s="188"/>
      <c r="D81" s="68" t="s">
        <v>754</v>
      </c>
      <c r="E81" s="69">
        <v>19356</v>
      </c>
      <c r="F81" s="70">
        <v>4.91</v>
      </c>
      <c r="G81" s="70">
        <f>E81*F81</f>
        <v>95037.96</v>
      </c>
      <c r="H81" s="81"/>
      <c r="I81" s="71"/>
    </row>
    <row r="82" spans="1:9">
      <c r="A82" s="65" t="s">
        <v>367</v>
      </c>
      <c r="B82" s="187" t="s">
        <v>451</v>
      </c>
      <c r="C82" s="188"/>
      <c r="D82" s="76" t="s">
        <v>753</v>
      </c>
      <c r="E82" s="69">
        <v>167</v>
      </c>
      <c r="F82" s="70">
        <v>233.46</v>
      </c>
      <c r="G82" s="70">
        <f>E82*F82</f>
        <v>38987.82</v>
      </c>
      <c r="H82" s="81"/>
      <c r="I82" s="71"/>
    </row>
    <row r="83" spans="1:9">
      <c r="A83" s="65"/>
      <c r="B83" s="190" t="s">
        <v>525</v>
      </c>
      <c r="C83" s="188"/>
      <c r="D83" s="68"/>
      <c r="E83" s="69"/>
      <c r="F83" s="70"/>
      <c r="G83" s="74">
        <f>SUM(G79:G82)</f>
        <v>231883.09</v>
      </c>
      <c r="H83" s="81"/>
      <c r="I83" s="71"/>
    </row>
    <row r="84" spans="1:9" ht="15">
      <c r="A84" s="65" t="s">
        <v>368</v>
      </c>
      <c r="B84" s="185" t="s">
        <v>495</v>
      </c>
      <c r="C84" s="186"/>
      <c r="D84" s="76" t="s">
        <v>777</v>
      </c>
      <c r="E84" s="69"/>
      <c r="F84" s="70"/>
      <c r="G84" s="70"/>
      <c r="H84" s="81"/>
      <c r="I84" s="71"/>
    </row>
    <row r="85" spans="1:9">
      <c r="A85" s="65" t="s">
        <v>369</v>
      </c>
      <c r="B85" s="187" t="s">
        <v>526</v>
      </c>
      <c r="C85" s="188"/>
      <c r="D85" s="68" t="s">
        <v>752</v>
      </c>
      <c r="E85" s="69">
        <v>1615</v>
      </c>
      <c r="F85" s="70">
        <v>32.61</v>
      </c>
      <c r="G85" s="70">
        <f t="shared" ref="G85:G91" si="0">E85*F85</f>
        <v>52665.15</v>
      </c>
      <c r="H85" s="81"/>
      <c r="I85" s="71"/>
    </row>
    <row r="86" spans="1:9">
      <c r="A86" s="65" t="s">
        <v>491</v>
      </c>
      <c r="B86" s="187" t="s">
        <v>160</v>
      </c>
      <c r="C86" s="188"/>
      <c r="D86" s="68" t="s">
        <v>752</v>
      </c>
      <c r="E86" s="69">
        <v>1615</v>
      </c>
      <c r="F86" s="70">
        <v>4.22</v>
      </c>
      <c r="G86" s="70">
        <f t="shared" si="0"/>
        <v>6815.3</v>
      </c>
      <c r="H86" s="81"/>
      <c r="I86" s="71"/>
    </row>
    <row r="87" spans="1:9">
      <c r="A87" s="65" t="s">
        <v>283</v>
      </c>
      <c r="B87" s="187" t="s">
        <v>272</v>
      </c>
      <c r="C87" s="188"/>
      <c r="D87" s="76" t="s">
        <v>273</v>
      </c>
      <c r="E87" s="69">
        <v>238</v>
      </c>
      <c r="F87" s="70">
        <v>12.3</v>
      </c>
      <c r="G87" s="70">
        <f t="shared" si="0"/>
        <v>2927.4</v>
      </c>
      <c r="H87" s="81"/>
      <c r="I87" s="71"/>
    </row>
    <row r="88" spans="1:9">
      <c r="A88" s="65" t="s">
        <v>370</v>
      </c>
      <c r="B88" s="187" t="s">
        <v>452</v>
      </c>
      <c r="C88" s="188"/>
      <c r="D88" s="68" t="s">
        <v>754</v>
      </c>
      <c r="E88" s="69">
        <v>11971</v>
      </c>
      <c r="F88" s="70">
        <v>4.91</v>
      </c>
      <c r="G88" s="70">
        <f t="shared" si="0"/>
        <v>58777.61</v>
      </c>
      <c r="H88" s="81"/>
      <c r="I88" s="71"/>
    </row>
    <row r="89" spans="1:9">
      <c r="A89" s="65" t="s">
        <v>371</v>
      </c>
      <c r="B89" s="187" t="s">
        <v>451</v>
      </c>
      <c r="C89" s="188"/>
      <c r="D89" s="76" t="s">
        <v>753</v>
      </c>
      <c r="E89" s="69">
        <v>197</v>
      </c>
      <c r="F89" s="70">
        <v>233.46</v>
      </c>
      <c r="G89" s="70">
        <f t="shared" si="0"/>
        <v>45991.62</v>
      </c>
      <c r="H89" s="81"/>
      <c r="I89" s="71"/>
    </row>
    <row r="90" spans="1:9">
      <c r="A90" s="65" t="s">
        <v>372</v>
      </c>
      <c r="B90" s="187" t="s">
        <v>275</v>
      </c>
      <c r="C90" s="188"/>
      <c r="D90" s="76" t="s">
        <v>373</v>
      </c>
      <c r="E90" s="69">
        <v>55</v>
      </c>
      <c r="F90" s="70">
        <v>21.8</v>
      </c>
      <c r="G90" s="70">
        <f t="shared" si="0"/>
        <v>1199</v>
      </c>
      <c r="H90" s="81"/>
      <c r="I90" s="71"/>
    </row>
    <row r="91" spans="1:9">
      <c r="A91" s="65" t="s">
        <v>282</v>
      </c>
      <c r="B91" s="187" t="s">
        <v>274</v>
      </c>
      <c r="C91" s="188"/>
      <c r="D91" s="76" t="s">
        <v>753</v>
      </c>
      <c r="E91" s="69">
        <v>600</v>
      </c>
      <c r="F91" s="70">
        <v>18.239999999999998</v>
      </c>
      <c r="G91" s="70">
        <f t="shared" si="0"/>
        <v>10944</v>
      </c>
      <c r="H91" s="81"/>
      <c r="I91" s="71"/>
    </row>
    <row r="92" spans="1:9">
      <c r="A92" s="65"/>
      <c r="B92" s="190" t="s">
        <v>525</v>
      </c>
      <c r="C92" s="188"/>
      <c r="D92" s="68"/>
      <c r="E92" s="69"/>
      <c r="F92" s="70"/>
      <c r="G92" s="74">
        <f>SUM(G85:G91)</f>
        <v>179320.08</v>
      </c>
      <c r="H92" s="81"/>
      <c r="I92" s="71"/>
    </row>
    <row r="93" spans="1:9" ht="15">
      <c r="A93" s="65" t="s">
        <v>374</v>
      </c>
      <c r="B93" s="185" t="s">
        <v>270</v>
      </c>
      <c r="C93" s="186"/>
      <c r="D93" s="76" t="s">
        <v>761</v>
      </c>
      <c r="E93" s="69"/>
      <c r="F93" s="70"/>
      <c r="G93" s="70"/>
      <c r="H93" s="81"/>
      <c r="I93" s="71"/>
    </row>
    <row r="94" spans="1:9">
      <c r="A94" s="65" t="s">
        <v>375</v>
      </c>
      <c r="B94" s="187" t="s">
        <v>526</v>
      </c>
      <c r="C94" s="188"/>
      <c r="D94" s="68" t="s">
        <v>752</v>
      </c>
      <c r="E94" s="69">
        <v>78</v>
      </c>
      <c r="F94" s="70">
        <v>32.61</v>
      </c>
      <c r="G94" s="70">
        <f>E94*F94</f>
        <v>2543.58</v>
      </c>
      <c r="H94" s="81"/>
      <c r="I94" s="71"/>
    </row>
    <row r="95" spans="1:9">
      <c r="A95" s="65" t="s">
        <v>492</v>
      </c>
      <c r="B95" s="187" t="s">
        <v>160</v>
      </c>
      <c r="C95" s="188"/>
      <c r="D95" s="68" t="s">
        <v>752</v>
      </c>
      <c r="E95" s="69">
        <v>78</v>
      </c>
      <c r="F95" s="70">
        <v>4.22</v>
      </c>
      <c r="G95" s="70">
        <f>E95*F95</f>
        <v>329.16</v>
      </c>
      <c r="H95" s="81"/>
      <c r="I95" s="71"/>
    </row>
    <row r="96" spans="1:9">
      <c r="A96" s="65" t="s">
        <v>376</v>
      </c>
      <c r="B96" s="187" t="s">
        <v>452</v>
      </c>
      <c r="C96" s="188"/>
      <c r="D96" s="68" t="s">
        <v>754</v>
      </c>
      <c r="E96" s="69">
        <v>550</v>
      </c>
      <c r="F96" s="70">
        <v>4.91</v>
      </c>
      <c r="G96" s="70">
        <f>E96*F96</f>
        <v>2700.5</v>
      </c>
      <c r="H96" s="81"/>
      <c r="I96" s="71"/>
    </row>
    <row r="97" spans="1:9">
      <c r="A97" s="65" t="s">
        <v>377</v>
      </c>
      <c r="B97" s="187" t="s">
        <v>451</v>
      </c>
      <c r="C97" s="188"/>
      <c r="D97" s="76" t="s">
        <v>753</v>
      </c>
      <c r="E97" s="69">
        <v>5</v>
      </c>
      <c r="F97" s="70">
        <v>233.46</v>
      </c>
      <c r="G97" s="70">
        <f>E97*F97</f>
        <v>1167.3</v>
      </c>
      <c r="H97" s="81"/>
      <c r="I97" s="71"/>
    </row>
    <row r="98" spans="1:9">
      <c r="A98" s="65"/>
      <c r="B98" s="190" t="s">
        <v>525</v>
      </c>
      <c r="C98" s="188"/>
      <c r="D98" s="68"/>
      <c r="E98" s="69"/>
      <c r="F98" s="70"/>
      <c r="G98" s="74">
        <f>SUM(G94:G97)</f>
        <v>6740.54</v>
      </c>
      <c r="H98" s="81"/>
      <c r="I98" s="71"/>
    </row>
    <row r="99" spans="1:9" ht="15">
      <c r="A99" s="65" t="s">
        <v>278</v>
      </c>
      <c r="B99" s="185" t="s">
        <v>271</v>
      </c>
      <c r="C99" s="186"/>
      <c r="D99" s="76" t="s">
        <v>761</v>
      </c>
      <c r="E99" s="69"/>
      <c r="F99" s="70"/>
      <c r="G99" s="70"/>
      <c r="H99" s="81"/>
      <c r="I99" s="71"/>
    </row>
    <row r="100" spans="1:9">
      <c r="A100" s="65" t="s">
        <v>492</v>
      </c>
      <c r="B100" s="187" t="s">
        <v>526</v>
      </c>
      <c r="C100" s="188"/>
      <c r="D100" s="68" t="s">
        <v>752</v>
      </c>
      <c r="E100" s="69">
        <v>90</v>
      </c>
      <c r="F100" s="70">
        <v>32.61</v>
      </c>
      <c r="G100" s="70">
        <f>E100*F100</f>
        <v>2934.9</v>
      </c>
      <c r="H100" s="81"/>
      <c r="I100" s="71"/>
    </row>
    <row r="101" spans="1:9">
      <c r="A101" s="65" t="s">
        <v>281</v>
      </c>
      <c r="B101" s="187" t="s">
        <v>160</v>
      </c>
      <c r="C101" s="188"/>
      <c r="D101" s="68" t="s">
        <v>752</v>
      </c>
      <c r="E101" s="69">
        <v>90</v>
      </c>
      <c r="F101" s="70">
        <v>4.22</v>
      </c>
      <c r="G101" s="70">
        <f>E101*F101</f>
        <v>379.8</v>
      </c>
      <c r="H101" s="81"/>
      <c r="I101" s="71"/>
    </row>
    <row r="102" spans="1:9">
      <c r="A102" s="65" t="s">
        <v>279</v>
      </c>
      <c r="B102" s="187" t="s">
        <v>452</v>
      </c>
      <c r="C102" s="188"/>
      <c r="D102" s="68" t="s">
        <v>754</v>
      </c>
      <c r="E102" s="69">
        <v>1210</v>
      </c>
      <c r="F102" s="70">
        <v>4.91</v>
      </c>
      <c r="G102" s="70">
        <f>E102*F102</f>
        <v>5941.1</v>
      </c>
      <c r="H102" s="81"/>
      <c r="I102" s="71"/>
    </row>
    <row r="103" spans="1:9">
      <c r="A103" s="65" t="s">
        <v>280</v>
      </c>
      <c r="B103" s="187" t="s">
        <v>451</v>
      </c>
      <c r="C103" s="188"/>
      <c r="D103" s="76" t="s">
        <v>753</v>
      </c>
      <c r="E103" s="69">
        <v>11</v>
      </c>
      <c r="F103" s="70">
        <v>233.46</v>
      </c>
      <c r="G103" s="70">
        <f>E103*F103</f>
        <v>2568.06</v>
      </c>
      <c r="H103" s="81"/>
      <c r="I103" s="71"/>
    </row>
    <row r="104" spans="1:9">
      <c r="A104" s="65"/>
      <c r="B104" s="190" t="s">
        <v>525</v>
      </c>
      <c r="C104" s="188"/>
      <c r="D104" s="68"/>
      <c r="E104" s="69"/>
      <c r="F104" s="70"/>
      <c r="G104" s="74">
        <f>SUM(G100:G103)</f>
        <v>11823.86</v>
      </c>
      <c r="H104" s="81"/>
      <c r="I104" s="71"/>
    </row>
    <row r="105" spans="1:9" ht="15">
      <c r="A105" s="65" t="s">
        <v>536</v>
      </c>
      <c r="B105" s="185" t="s">
        <v>537</v>
      </c>
      <c r="C105" s="186"/>
      <c r="D105" s="76" t="s">
        <v>761</v>
      </c>
      <c r="E105" s="69"/>
      <c r="F105" s="70"/>
      <c r="G105" s="70"/>
      <c r="H105" s="81"/>
      <c r="I105" s="71"/>
    </row>
    <row r="106" spans="1:9">
      <c r="A106" s="65" t="s">
        <v>277</v>
      </c>
      <c r="B106" s="187" t="s">
        <v>276</v>
      </c>
      <c r="C106" s="188"/>
      <c r="D106" s="68" t="s">
        <v>752</v>
      </c>
      <c r="E106" s="69">
        <v>45</v>
      </c>
      <c r="F106" s="70">
        <v>6.5</v>
      </c>
      <c r="G106" s="70">
        <f>E106*F106</f>
        <v>292.5</v>
      </c>
      <c r="H106" s="81"/>
      <c r="I106" s="71"/>
    </row>
    <row r="107" spans="1:9">
      <c r="A107" s="65"/>
      <c r="B107" s="190" t="s">
        <v>525</v>
      </c>
      <c r="C107" s="188"/>
      <c r="D107" s="68"/>
      <c r="E107" s="69"/>
      <c r="F107" s="70"/>
      <c r="G107" s="74">
        <f>SUM(G106)</f>
        <v>292.5</v>
      </c>
      <c r="H107" s="81"/>
      <c r="I107" s="71"/>
    </row>
    <row r="108" spans="1:9" ht="15">
      <c r="A108" s="65" t="s">
        <v>538</v>
      </c>
      <c r="B108" s="185" t="s">
        <v>264</v>
      </c>
      <c r="C108" s="186"/>
      <c r="D108" s="68"/>
      <c r="E108" s="69"/>
      <c r="F108" s="70"/>
      <c r="G108" s="70"/>
      <c r="H108" s="81"/>
      <c r="I108" s="71"/>
    </row>
    <row r="109" spans="1:9">
      <c r="A109" s="65" t="s">
        <v>539</v>
      </c>
      <c r="B109" s="187" t="s">
        <v>265</v>
      </c>
      <c r="C109" s="188"/>
      <c r="D109" s="68" t="s">
        <v>754</v>
      </c>
      <c r="E109" s="69">
        <v>4122</v>
      </c>
      <c r="F109" s="70">
        <v>5.59</v>
      </c>
      <c r="G109" s="70">
        <f>E109*F109</f>
        <v>23041.98</v>
      </c>
      <c r="H109" s="81"/>
      <c r="I109" s="71"/>
    </row>
    <row r="110" spans="1:9">
      <c r="A110" s="65"/>
      <c r="B110" s="190" t="s">
        <v>525</v>
      </c>
      <c r="C110" s="188"/>
      <c r="D110" s="68"/>
      <c r="E110" s="69"/>
      <c r="F110" s="70"/>
      <c r="G110" s="74">
        <f>SUM(G109)</f>
        <v>23041.98</v>
      </c>
      <c r="H110" s="100">
        <f>G111/H643</f>
        <v>0.28560000000000002</v>
      </c>
      <c r="I110" s="101"/>
    </row>
    <row r="111" spans="1:9" s="21" customFormat="1">
      <c r="A111" s="102"/>
      <c r="B111" s="191" t="s">
        <v>108</v>
      </c>
      <c r="C111" s="192"/>
      <c r="D111" s="82"/>
      <c r="E111" s="83"/>
      <c r="F111" s="84"/>
      <c r="G111" s="84">
        <f>SUM(G46+G49+G54+G61+G68+G68+G77+G83+G92+G98+G104+G107+G110)</f>
        <v>899521.14</v>
      </c>
      <c r="H111" s="84">
        <f>G111*1</f>
        <v>899521.14</v>
      </c>
      <c r="I111" s="103"/>
    </row>
    <row r="112" spans="1:9" ht="15">
      <c r="A112" s="65" t="s">
        <v>608</v>
      </c>
      <c r="B112" s="184" t="s">
        <v>609</v>
      </c>
      <c r="C112" s="184"/>
      <c r="D112" s="68" t="s">
        <v>761</v>
      </c>
      <c r="E112" s="69"/>
      <c r="F112" s="70"/>
      <c r="G112" s="70"/>
      <c r="H112" s="81">
        <v>0</v>
      </c>
      <c r="I112" s="71"/>
    </row>
    <row r="113" spans="1:9" ht="15">
      <c r="A113" s="65" t="s">
        <v>610</v>
      </c>
      <c r="B113" s="184" t="s">
        <v>611</v>
      </c>
      <c r="C113" s="184"/>
      <c r="D113" s="68" t="s">
        <v>777</v>
      </c>
      <c r="E113" s="69"/>
      <c r="F113" s="70"/>
      <c r="G113" s="70"/>
      <c r="H113" s="81">
        <v>0</v>
      </c>
      <c r="I113" s="71"/>
    </row>
    <row r="114" spans="1:9" ht="15">
      <c r="A114" s="65" t="s">
        <v>612</v>
      </c>
      <c r="B114" s="184" t="s">
        <v>613</v>
      </c>
      <c r="C114" s="184"/>
      <c r="D114" s="68" t="s">
        <v>761</v>
      </c>
      <c r="E114" s="69"/>
      <c r="F114" s="70"/>
      <c r="G114" s="70"/>
      <c r="H114" s="81">
        <v>0</v>
      </c>
      <c r="I114" s="71"/>
    </row>
    <row r="115" spans="1:9">
      <c r="A115" s="65" t="s">
        <v>991</v>
      </c>
      <c r="B115" s="189" t="s">
        <v>242</v>
      </c>
      <c r="C115" s="189"/>
      <c r="D115" s="68" t="s">
        <v>752</v>
      </c>
      <c r="E115" s="69">
        <v>1640</v>
      </c>
      <c r="F115" s="70">
        <v>20.309999999999999</v>
      </c>
      <c r="G115" s="70">
        <f>E115*F115</f>
        <v>33308.400000000001</v>
      </c>
      <c r="H115" s="81"/>
      <c r="I115" s="71"/>
    </row>
    <row r="116" spans="1:9">
      <c r="A116" s="65" t="s">
        <v>992</v>
      </c>
      <c r="B116" s="189" t="s">
        <v>243</v>
      </c>
      <c r="C116" s="189"/>
      <c r="D116" s="68" t="s">
        <v>752</v>
      </c>
      <c r="E116" s="69">
        <v>375</v>
      </c>
      <c r="F116" s="70">
        <v>35.020000000000003</v>
      </c>
      <c r="G116" s="70">
        <f>E116*F116</f>
        <v>13132.5</v>
      </c>
      <c r="H116" s="81"/>
      <c r="I116" s="71"/>
    </row>
    <row r="117" spans="1:9">
      <c r="A117" s="65" t="s">
        <v>540</v>
      </c>
      <c r="B117" s="189" t="s">
        <v>244</v>
      </c>
      <c r="C117" s="189"/>
      <c r="D117" s="68" t="s">
        <v>752</v>
      </c>
      <c r="E117" s="69">
        <v>145</v>
      </c>
      <c r="F117" s="70">
        <v>35.43</v>
      </c>
      <c r="G117" s="70">
        <f>E117*F117</f>
        <v>5137.3500000000004</v>
      </c>
      <c r="H117" s="81"/>
      <c r="I117" s="71"/>
    </row>
    <row r="118" spans="1:9">
      <c r="A118" s="65" t="s">
        <v>541</v>
      </c>
      <c r="B118" s="189" t="s">
        <v>245</v>
      </c>
      <c r="C118" s="189"/>
      <c r="D118" s="68" t="s">
        <v>752</v>
      </c>
      <c r="E118" s="69">
        <v>44</v>
      </c>
      <c r="F118" s="70">
        <v>285</v>
      </c>
      <c r="G118" s="70">
        <f>E118*F118</f>
        <v>12540</v>
      </c>
      <c r="H118" s="81"/>
      <c r="I118" s="71"/>
    </row>
    <row r="119" spans="1:9">
      <c r="A119" s="65"/>
      <c r="B119" s="190" t="s">
        <v>525</v>
      </c>
      <c r="C119" s="188"/>
      <c r="D119" s="68"/>
      <c r="E119" s="69"/>
      <c r="F119" s="70"/>
      <c r="G119" s="74">
        <f>SUM(G115:G118)</f>
        <v>64118.25</v>
      </c>
      <c r="H119" s="81"/>
      <c r="I119" s="71"/>
    </row>
    <row r="120" spans="1:9" ht="15">
      <c r="A120" s="65" t="s">
        <v>3</v>
      </c>
      <c r="B120" s="184" t="s">
        <v>4</v>
      </c>
      <c r="C120" s="184"/>
      <c r="D120" s="68" t="s">
        <v>761</v>
      </c>
      <c r="E120" s="69"/>
      <c r="F120" s="70"/>
      <c r="G120" s="70"/>
      <c r="H120" s="81">
        <v>0</v>
      </c>
      <c r="I120" s="71"/>
    </row>
    <row r="121" spans="1:9" ht="15">
      <c r="A121" s="65" t="s">
        <v>5</v>
      </c>
      <c r="B121" s="184" t="s">
        <v>993</v>
      </c>
      <c r="C121" s="184"/>
      <c r="D121" s="68"/>
      <c r="E121" s="69"/>
      <c r="F121" s="70"/>
      <c r="G121" s="70"/>
      <c r="H121" s="81">
        <v>0</v>
      </c>
      <c r="I121" s="71"/>
    </row>
    <row r="122" spans="1:9">
      <c r="A122" s="65" t="s">
        <v>163</v>
      </c>
      <c r="B122" s="189" t="s">
        <v>261</v>
      </c>
      <c r="C122" s="189"/>
      <c r="D122" s="68" t="s">
        <v>756</v>
      </c>
      <c r="E122" s="69">
        <v>3</v>
      </c>
      <c r="F122" s="70">
        <v>257.68</v>
      </c>
      <c r="G122" s="70">
        <f>E122*F122</f>
        <v>773.04</v>
      </c>
      <c r="H122" s="81"/>
      <c r="I122" s="71"/>
    </row>
    <row r="123" spans="1:9">
      <c r="A123" s="65"/>
      <c r="B123" s="190" t="s">
        <v>525</v>
      </c>
      <c r="C123" s="188"/>
      <c r="D123" s="68"/>
      <c r="E123" s="69"/>
      <c r="F123" s="70"/>
      <c r="G123" s="74">
        <f>SUM(G122)</f>
        <v>773.04</v>
      </c>
      <c r="H123" s="81"/>
      <c r="I123" s="71"/>
    </row>
    <row r="124" spans="1:9" ht="15">
      <c r="A124" s="65" t="s">
        <v>324</v>
      </c>
      <c r="B124" s="184" t="s">
        <v>902</v>
      </c>
      <c r="C124" s="184"/>
      <c r="D124" s="68"/>
      <c r="E124" s="69"/>
      <c r="F124" s="70"/>
      <c r="G124" s="70"/>
      <c r="H124" s="81"/>
      <c r="I124" s="71"/>
    </row>
    <row r="125" spans="1:9">
      <c r="A125" s="65" t="s">
        <v>889</v>
      </c>
      <c r="B125" s="189" t="s">
        <v>453</v>
      </c>
      <c r="C125" s="189"/>
      <c r="D125" s="68" t="s">
        <v>757</v>
      </c>
      <c r="E125" s="69">
        <v>24</v>
      </c>
      <c r="F125" s="70">
        <v>1558.26</v>
      </c>
      <c r="G125" s="70">
        <f t="shared" ref="G125:G135" si="1">E125*F125</f>
        <v>37398.239999999998</v>
      </c>
      <c r="H125" s="81"/>
      <c r="I125" s="71"/>
    </row>
    <row r="126" spans="1:9">
      <c r="A126" s="65" t="s">
        <v>890</v>
      </c>
      <c r="B126" s="189" t="s">
        <v>454</v>
      </c>
      <c r="C126" s="189"/>
      <c r="D126" s="68" t="s">
        <v>757</v>
      </c>
      <c r="E126" s="69">
        <v>50</v>
      </c>
      <c r="F126" s="70">
        <v>265.64</v>
      </c>
      <c r="G126" s="70">
        <f t="shared" si="1"/>
        <v>13282</v>
      </c>
      <c r="H126" s="81"/>
      <c r="I126" s="71"/>
    </row>
    <row r="127" spans="1:9">
      <c r="A127" s="65" t="s">
        <v>891</v>
      </c>
      <c r="B127" s="189" t="s">
        <v>455</v>
      </c>
      <c r="C127" s="189"/>
      <c r="D127" s="68" t="s">
        <v>757</v>
      </c>
      <c r="E127" s="69">
        <v>8</v>
      </c>
      <c r="F127" s="70">
        <v>2037.52</v>
      </c>
      <c r="G127" s="70">
        <f t="shared" si="1"/>
        <v>16300.16</v>
      </c>
      <c r="H127" s="81"/>
      <c r="I127" s="71"/>
    </row>
    <row r="128" spans="1:9">
      <c r="A128" s="65" t="s">
        <v>892</v>
      </c>
      <c r="B128" s="189" t="s">
        <v>456</v>
      </c>
      <c r="C128" s="189"/>
      <c r="D128" s="68" t="s">
        <v>757</v>
      </c>
      <c r="E128" s="69">
        <v>7</v>
      </c>
      <c r="F128" s="70">
        <v>402.57</v>
      </c>
      <c r="G128" s="70">
        <f t="shared" si="1"/>
        <v>2817.99</v>
      </c>
      <c r="H128" s="81"/>
      <c r="I128" s="71"/>
    </row>
    <row r="129" spans="1:9">
      <c r="A129" s="65" t="s">
        <v>893</v>
      </c>
      <c r="B129" s="189" t="s">
        <v>457</v>
      </c>
      <c r="C129" s="189"/>
      <c r="D129" s="68" t="s">
        <v>757</v>
      </c>
      <c r="E129" s="69">
        <v>2</v>
      </c>
      <c r="F129" s="70">
        <v>616.19000000000005</v>
      </c>
      <c r="G129" s="70">
        <f t="shared" si="1"/>
        <v>1232.3800000000001</v>
      </c>
      <c r="H129" s="81"/>
      <c r="I129" s="71"/>
    </row>
    <row r="130" spans="1:9">
      <c r="A130" s="65" t="s">
        <v>894</v>
      </c>
      <c r="B130" s="189" t="s">
        <v>458</v>
      </c>
      <c r="C130" s="189"/>
      <c r="D130" s="68" t="s">
        <v>757</v>
      </c>
      <c r="E130" s="69">
        <v>1</v>
      </c>
      <c r="F130" s="70">
        <v>766.81</v>
      </c>
      <c r="G130" s="70">
        <f t="shared" si="1"/>
        <v>766.81</v>
      </c>
      <c r="H130" s="81"/>
      <c r="I130" s="71"/>
    </row>
    <row r="131" spans="1:9">
      <c r="A131" s="65" t="s">
        <v>895</v>
      </c>
      <c r="B131" s="189" t="s">
        <v>459</v>
      </c>
      <c r="C131" s="189"/>
      <c r="D131" s="68" t="s">
        <v>757</v>
      </c>
      <c r="E131" s="69">
        <v>1</v>
      </c>
      <c r="F131" s="70">
        <v>539.5</v>
      </c>
      <c r="G131" s="70">
        <f t="shared" si="1"/>
        <v>539.5</v>
      </c>
      <c r="H131" s="81"/>
      <c r="I131" s="71"/>
    </row>
    <row r="132" spans="1:9">
      <c r="A132" s="65" t="s">
        <v>896</v>
      </c>
      <c r="B132" s="189" t="s">
        <v>460</v>
      </c>
      <c r="C132" s="189"/>
      <c r="D132" s="68" t="s">
        <v>757</v>
      </c>
      <c r="E132" s="69">
        <v>2</v>
      </c>
      <c r="F132" s="70">
        <v>1774.61</v>
      </c>
      <c r="G132" s="70">
        <f t="shared" si="1"/>
        <v>3549.22</v>
      </c>
      <c r="H132" s="81"/>
      <c r="I132" s="71"/>
    </row>
    <row r="133" spans="1:9">
      <c r="A133" s="65" t="s">
        <v>897</v>
      </c>
      <c r="B133" s="189" t="s">
        <v>461</v>
      </c>
      <c r="C133" s="189"/>
      <c r="D133" s="68" t="s">
        <v>757</v>
      </c>
      <c r="E133" s="69">
        <v>1</v>
      </c>
      <c r="F133" s="70">
        <v>262.91000000000003</v>
      </c>
      <c r="G133" s="70">
        <f t="shared" si="1"/>
        <v>262.91000000000003</v>
      </c>
      <c r="H133" s="81"/>
      <c r="I133" s="71"/>
    </row>
    <row r="134" spans="1:9">
      <c r="A134" s="65" t="s">
        <v>898</v>
      </c>
      <c r="B134" s="189" t="s">
        <v>1089</v>
      </c>
      <c r="C134" s="189"/>
      <c r="D134" s="68" t="s">
        <v>757</v>
      </c>
      <c r="E134" s="69">
        <v>1</v>
      </c>
      <c r="F134" s="70">
        <v>1251.54</v>
      </c>
      <c r="G134" s="70">
        <f t="shared" si="1"/>
        <v>1251.54</v>
      </c>
      <c r="H134" s="81"/>
      <c r="I134" s="71"/>
    </row>
    <row r="135" spans="1:9">
      <c r="A135" s="65" t="s">
        <v>899</v>
      </c>
      <c r="B135" s="189" t="s">
        <v>1090</v>
      </c>
      <c r="C135" s="189"/>
      <c r="D135" s="68" t="s">
        <v>757</v>
      </c>
      <c r="E135" s="69">
        <v>1</v>
      </c>
      <c r="F135" s="70">
        <v>827.06</v>
      </c>
      <c r="G135" s="70">
        <f t="shared" si="1"/>
        <v>827.06</v>
      </c>
      <c r="H135" s="81"/>
      <c r="I135" s="71"/>
    </row>
    <row r="136" spans="1:9">
      <c r="A136" s="65"/>
      <c r="B136" s="190" t="s">
        <v>525</v>
      </c>
      <c r="C136" s="188"/>
      <c r="D136" s="68"/>
      <c r="E136" s="69"/>
      <c r="F136" s="70"/>
      <c r="G136" s="74">
        <f>SUM(G125:G135)</f>
        <v>78227.81</v>
      </c>
      <c r="H136" s="81"/>
      <c r="I136" s="71"/>
    </row>
    <row r="137" spans="1:9" ht="15">
      <c r="A137" s="65" t="s">
        <v>6</v>
      </c>
      <c r="B137" s="184" t="s">
        <v>997</v>
      </c>
      <c r="C137" s="184"/>
      <c r="D137" s="68" t="s">
        <v>761</v>
      </c>
      <c r="E137" s="69"/>
      <c r="F137" s="70"/>
      <c r="G137" s="70"/>
      <c r="H137" s="81">
        <v>0</v>
      </c>
      <c r="I137" s="71"/>
    </row>
    <row r="138" spans="1:9">
      <c r="A138" s="65" t="s">
        <v>164</v>
      </c>
      <c r="B138" s="189" t="s">
        <v>1091</v>
      </c>
      <c r="C138" s="189"/>
      <c r="D138" s="68" t="s">
        <v>757</v>
      </c>
      <c r="E138" s="69">
        <v>56</v>
      </c>
      <c r="F138" s="70">
        <v>193.06</v>
      </c>
      <c r="G138" s="70">
        <f>E138*F138</f>
        <v>10811.36</v>
      </c>
      <c r="H138" s="81"/>
      <c r="I138" s="71"/>
    </row>
    <row r="139" spans="1:9">
      <c r="A139" s="65" t="s">
        <v>165</v>
      </c>
      <c r="B139" s="189" t="s">
        <v>1092</v>
      </c>
      <c r="C139" s="189"/>
      <c r="D139" s="68" t="s">
        <v>757</v>
      </c>
      <c r="E139" s="69">
        <v>1</v>
      </c>
      <c r="F139" s="70">
        <v>260.94</v>
      </c>
      <c r="G139" s="70">
        <f>E139*F139</f>
        <v>260.94</v>
      </c>
      <c r="H139" s="81"/>
      <c r="I139" s="71"/>
    </row>
    <row r="140" spans="1:9">
      <c r="A140" s="65" t="s">
        <v>166</v>
      </c>
      <c r="B140" s="189" t="s">
        <v>1093</v>
      </c>
      <c r="C140" s="189"/>
      <c r="D140" s="68" t="s">
        <v>757</v>
      </c>
      <c r="E140" s="69">
        <v>59</v>
      </c>
      <c r="F140" s="70">
        <v>292.06</v>
      </c>
      <c r="G140" s="70">
        <f>E140*F140</f>
        <v>17231.54</v>
      </c>
      <c r="H140" s="81"/>
      <c r="I140" s="71"/>
    </row>
    <row r="141" spans="1:9">
      <c r="A141" s="65" t="s">
        <v>900</v>
      </c>
      <c r="B141" s="189" t="s">
        <v>1094</v>
      </c>
      <c r="C141" s="189"/>
      <c r="D141" s="68" t="s">
        <v>496</v>
      </c>
      <c r="E141" s="69">
        <v>1</v>
      </c>
      <c r="F141" s="70">
        <v>584.12</v>
      </c>
      <c r="G141" s="70">
        <f>E141*F141</f>
        <v>584.12</v>
      </c>
      <c r="H141" s="81"/>
      <c r="I141" s="71"/>
    </row>
    <row r="142" spans="1:9">
      <c r="A142" s="65"/>
      <c r="B142" s="190" t="s">
        <v>525</v>
      </c>
      <c r="C142" s="188"/>
      <c r="D142" s="68"/>
      <c r="E142" s="69"/>
      <c r="F142" s="70"/>
      <c r="G142" s="74">
        <f>SUM(G138:G141)</f>
        <v>28887.96</v>
      </c>
      <c r="H142" s="81"/>
      <c r="I142" s="71"/>
    </row>
    <row r="143" spans="1:9" ht="15">
      <c r="A143" s="65" t="s">
        <v>325</v>
      </c>
      <c r="B143" s="184" t="s">
        <v>901</v>
      </c>
      <c r="C143" s="184"/>
      <c r="D143" s="68"/>
      <c r="E143" s="69"/>
      <c r="F143" s="70"/>
      <c r="G143" s="70"/>
      <c r="H143" s="81"/>
      <c r="I143" s="71"/>
    </row>
    <row r="144" spans="1:9">
      <c r="A144" s="65" t="s">
        <v>903</v>
      </c>
      <c r="B144" s="189" t="s">
        <v>907</v>
      </c>
      <c r="C144" s="189"/>
      <c r="D144" s="68" t="s">
        <v>496</v>
      </c>
      <c r="E144" s="69">
        <v>61</v>
      </c>
      <c r="F144" s="70">
        <v>83.97</v>
      </c>
      <c r="G144" s="70">
        <f>E144*F144</f>
        <v>5122.17</v>
      </c>
      <c r="H144" s="81"/>
      <c r="I144" s="71"/>
    </row>
    <row r="145" spans="1:9">
      <c r="A145" s="65" t="s">
        <v>904</v>
      </c>
      <c r="B145" s="189" t="s">
        <v>906</v>
      </c>
      <c r="C145" s="189"/>
      <c r="D145" s="68" t="s">
        <v>496</v>
      </c>
      <c r="E145" s="69">
        <v>4</v>
      </c>
      <c r="F145" s="70">
        <v>274</v>
      </c>
      <c r="G145" s="70">
        <f>E145*F145</f>
        <v>1096</v>
      </c>
      <c r="H145" s="81"/>
      <c r="I145" s="71"/>
    </row>
    <row r="146" spans="1:9">
      <c r="A146" s="65" t="s">
        <v>1007</v>
      </c>
      <c r="B146" s="189" t="s">
        <v>1006</v>
      </c>
      <c r="C146" s="189"/>
      <c r="D146" s="68" t="s">
        <v>496</v>
      </c>
      <c r="E146" s="69">
        <v>3</v>
      </c>
      <c r="F146" s="70">
        <v>385</v>
      </c>
      <c r="G146" s="70">
        <f>E146*F146</f>
        <v>1155</v>
      </c>
      <c r="H146" s="81"/>
      <c r="I146" s="71"/>
    </row>
    <row r="147" spans="1:9">
      <c r="A147" s="65"/>
      <c r="B147" s="190" t="s">
        <v>525</v>
      </c>
      <c r="C147" s="188"/>
      <c r="D147" s="68"/>
      <c r="E147" s="69"/>
      <c r="F147" s="70"/>
      <c r="G147" s="74">
        <f>SUM(G144:G146)</f>
        <v>7373.17</v>
      </c>
      <c r="H147" s="81"/>
      <c r="I147" s="71"/>
    </row>
    <row r="148" spans="1:9" ht="15">
      <c r="A148" s="65" t="s">
        <v>7</v>
      </c>
      <c r="B148" s="184" t="s">
        <v>998</v>
      </c>
      <c r="C148" s="184"/>
      <c r="D148" s="68"/>
      <c r="E148" s="69"/>
      <c r="F148" s="70"/>
      <c r="G148" s="70"/>
      <c r="H148" s="81"/>
      <c r="I148" s="71"/>
    </row>
    <row r="149" spans="1:9">
      <c r="A149" s="65" t="s">
        <v>326</v>
      </c>
      <c r="B149" s="189" t="s">
        <v>1004</v>
      </c>
      <c r="C149" s="189"/>
      <c r="D149" s="68" t="s">
        <v>752</v>
      </c>
      <c r="E149" s="69">
        <v>285</v>
      </c>
      <c r="F149" s="70">
        <v>62.46</v>
      </c>
      <c r="G149" s="70">
        <f>E149*F149</f>
        <v>17801.099999999999</v>
      </c>
      <c r="H149" s="81"/>
      <c r="I149" s="71"/>
    </row>
    <row r="150" spans="1:9">
      <c r="A150" s="65" t="s">
        <v>161</v>
      </c>
      <c r="B150" s="189" t="s">
        <v>999</v>
      </c>
      <c r="C150" s="189"/>
      <c r="D150" s="68" t="s">
        <v>757</v>
      </c>
      <c r="E150" s="69">
        <v>1</v>
      </c>
      <c r="F150" s="70">
        <v>292.58999999999997</v>
      </c>
      <c r="G150" s="70">
        <f>E150*F150</f>
        <v>292.58999999999997</v>
      </c>
      <c r="H150" s="81"/>
      <c r="I150" s="71"/>
    </row>
    <row r="151" spans="1:9">
      <c r="A151" s="65" t="s">
        <v>162</v>
      </c>
      <c r="B151" s="189" t="s">
        <v>1000</v>
      </c>
      <c r="C151" s="189"/>
      <c r="D151" s="68" t="s">
        <v>757</v>
      </c>
      <c r="E151" s="69">
        <v>2</v>
      </c>
      <c r="F151" s="70">
        <v>772.81</v>
      </c>
      <c r="G151" s="70">
        <f>E151*F151</f>
        <v>1545.62</v>
      </c>
      <c r="H151" s="81"/>
      <c r="I151" s="71"/>
    </row>
    <row r="152" spans="1:9">
      <c r="A152" s="65" t="s">
        <v>1008</v>
      </c>
      <c r="B152" s="189" t="s">
        <v>1001</v>
      </c>
      <c r="C152" s="189"/>
      <c r="D152" s="68" t="s">
        <v>757</v>
      </c>
      <c r="E152" s="69">
        <v>1</v>
      </c>
      <c r="F152" s="70">
        <v>1018.76</v>
      </c>
      <c r="G152" s="70">
        <f>E152*F152</f>
        <v>1018.76</v>
      </c>
      <c r="H152" s="81"/>
      <c r="I152" s="71"/>
    </row>
    <row r="153" spans="1:9">
      <c r="A153" s="65" t="s">
        <v>1009</v>
      </c>
      <c r="B153" s="189" t="s">
        <v>905</v>
      </c>
      <c r="C153" s="189"/>
      <c r="D153" s="68" t="s">
        <v>757</v>
      </c>
      <c r="E153" s="69">
        <v>26</v>
      </c>
      <c r="F153" s="70">
        <v>209.9</v>
      </c>
      <c r="G153" s="70">
        <f>E153*F153</f>
        <v>5457.4</v>
      </c>
      <c r="H153" s="81"/>
      <c r="I153" s="71"/>
    </row>
    <row r="154" spans="1:9">
      <c r="A154" s="65"/>
      <c r="B154" s="190" t="s">
        <v>525</v>
      </c>
      <c r="C154" s="188"/>
      <c r="D154" s="68"/>
      <c r="E154" s="69"/>
      <c r="F154" s="70"/>
      <c r="G154" s="74">
        <f>SUM(G149:G153)</f>
        <v>26115.47</v>
      </c>
      <c r="H154" s="81"/>
      <c r="I154" s="71"/>
    </row>
    <row r="155" spans="1:9" ht="15">
      <c r="A155" s="65" t="s">
        <v>8</v>
      </c>
      <c r="B155" s="184" t="s">
        <v>262</v>
      </c>
      <c r="C155" s="184"/>
      <c r="D155" s="68" t="s">
        <v>761</v>
      </c>
      <c r="E155" s="69"/>
      <c r="F155" s="70"/>
      <c r="G155" s="70"/>
      <c r="H155" s="81"/>
      <c r="I155" s="71"/>
    </row>
    <row r="156" spans="1:9" ht="15">
      <c r="A156" s="65" t="s">
        <v>9</v>
      </c>
      <c r="B156" s="184" t="s">
        <v>266</v>
      </c>
      <c r="C156" s="184"/>
      <c r="D156" s="68"/>
      <c r="E156" s="69"/>
      <c r="F156" s="70"/>
      <c r="G156" s="70"/>
      <c r="H156" s="81"/>
      <c r="I156" s="71"/>
    </row>
    <row r="157" spans="1:9">
      <c r="A157" s="65" t="s">
        <v>167</v>
      </c>
      <c r="B157" s="197" t="s">
        <v>263</v>
      </c>
      <c r="C157" s="188"/>
      <c r="D157" s="68" t="s">
        <v>752</v>
      </c>
      <c r="E157" s="69">
        <v>900</v>
      </c>
      <c r="F157" s="70">
        <v>131.9</v>
      </c>
      <c r="G157" s="70">
        <f>E157*F157</f>
        <v>118710</v>
      </c>
      <c r="H157" s="81"/>
      <c r="I157" s="71"/>
    </row>
    <row r="158" spans="1:9" s="1" customFormat="1">
      <c r="A158" s="65" t="s">
        <v>388</v>
      </c>
      <c r="B158" s="197" t="s">
        <v>200</v>
      </c>
      <c r="C158" s="187"/>
      <c r="D158" s="68" t="s">
        <v>752</v>
      </c>
      <c r="E158" s="69">
        <v>228</v>
      </c>
      <c r="F158" s="70">
        <v>146</v>
      </c>
      <c r="G158" s="70">
        <f>E158*F158</f>
        <v>33288</v>
      </c>
      <c r="H158" s="81"/>
      <c r="I158" s="71"/>
    </row>
    <row r="159" spans="1:9">
      <c r="A159" s="65"/>
      <c r="B159" s="190" t="s">
        <v>525</v>
      </c>
      <c r="C159" s="188"/>
      <c r="D159" s="68"/>
      <c r="E159" s="69"/>
      <c r="F159" s="70"/>
      <c r="G159" s="74">
        <f>SUM(G157:G158)</f>
        <v>151998</v>
      </c>
      <c r="H159" s="81"/>
      <c r="I159" s="71"/>
    </row>
    <row r="160" spans="1:9" ht="15">
      <c r="A160" s="65" t="s">
        <v>10</v>
      </c>
      <c r="B160" s="184" t="s">
        <v>267</v>
      </c>
      <c r="C160" s="184"/>
      <c r="D160" s="68"/>
      <c r="E160" s="69"/>
      <c r="F160" s="70"/>
      <c r="G160" s="70"/>
      <c r="H160" s="81"/>
      <c r="I160" s="71"/>
    </row>
    <row r="161" spans="1:9">
      <c r="A161" s="65" t="s">
        <v>168</v>
      </c>
      <c r="B161" s="189" t="s">
        <v>465</v>
      </c>
      <c r="C161" s="189"/>
      <c r="D161" s="68" t="s">
        <v>755</v>
      </c>
      <c r="E161" s="69">
        <v>120</v>
      </c>
      <c r="F161" s="70">
        <v>21.89</v>
      </c>
      <c r="G161" s="70">
        <f>E161*F161</f>
        <v>2626.8</v>
      </c>
      <c r="H161" s="81"/>
      <c r="I161" s="71"/>
    </row>
    <row r="162" spans="1:9">
      <c r="A162" s="65" t="s">
        <v>169</v>
      </c>
      <c r="B162" s="189" t="s">
        <v>466</v>
      </c>
      <c r="C162" s="189"/>
      <c r="D162" s="68" t="s">
        <v>755</v>
      </c>
      <c r="E162" s="69">
        <v>30</v>
      </c>
      <c r="F162" s="70">
        <v>21.52</v>
      </c>
      <c r="G162" s="70">
        <f>E162*F162</f>
        <v>645.6</v>
      </c>
      <c r="H162" s="81"/>
      <c r="I162" s="71"/>
    </row>
    <row r="163" spans="1:9">
      <c r="A163" s="65"/>
      <c r="B163" s="190" t="s">
        <v>525</v>
      </c>
      <c r="C163" s="188"/>
      <c r="D163" s="68"/>
      <c r="E163" s="69"/>
      <c r="F163" s="70"/>
      <c r="G163" s="74">
        <f>SUM(G161:G162)</f>
        <v>3272.4</v>
      </c>
      <c r="H163" s="81"/>
      <c r="I163" s="71"/>
    </row>
    <row r="164" spans="1:9" ht="15">
      <c r="A164" s="65" t="s">
        <v>11</v>
      </c>
      <c r="B164" s="184" t="s">
        <v>12</v>
      </c>
      <c r="C164" s="184"/>
      <c r="D164" s="68" t="s">
        <v>761</v>
      </c>
      <c r="E164" s="69"/>
      <c r="F164" s="70"/>
      <c r="G164" s="70"/>
      <c r="H164" s="81"/>
      <c r="I164" s="71"/>
    </row>
    <row r="165" spans="1:9" ht="15">
      <c r="A165" s="65" t="s">
        <v>13</v>
      </c>
      <c r="B165" s="184" t="s">
        <v>295</v>
      </c>
      <c r="C165" s="184"/>
      <c r="D165" s="68" t="s">
        <v>761</v>
      </c>
      <c r="E165" s="69"/>
      <c r="F165" s="70"/>
      <c r="G165" s="70"/>
      <c r="H165" s="81"/>
      <c r="I165" s="71"/>
    </row>
    <row r="166" spans="1:9" ht="15">
      <c r="A166" s="65" t="s">
        <v>14</v>
      </c>
      <c r="B166" s="184" t="s">
        <v>1095</v>
      </c>
      <c r="C166" s="184"/>
      <c r="D166" s="68"/>
      <c r="E166" s="69"/>
      <c r="F166" s="70"/>
      <c r="G166" s="70"/>
      <c r="H166" s="81"/>
      <c r="I166" s="71"/>
    </row>
    <row r="167" spans="1:9">
      <c r="A167" s="65" t="s">
        <v>467</v>
      </c>
      <c r="B167" s="189" t="s">
        <v>384</v>
      </c>
      <c r="C167" s="189"/>
      <c r="D167" s="68" t="s">
        <v>752</v>
      </c>
      <c r="E167" s="69">
        <v>994</v>
      </c>
      <c r="F167" s="70">
        <v>19.78</v>
      </c>
      <c r="G167" s="70">
        <f>E167*F167</f>
        <v>19661.32</v>
      </c>
      <c r="H167" s="81"/>
      <c r="I167" s="71"/>
    </row>
    <row r="168" spans="1:9">
      <c r="A168" s="65" t="s">
        <v>378</v>
      </c>
      <c r="B168" s="189" t="s">
        <v>385</v>
      </c>
      <c r="C168" s="189"/>
      <c r="D168" s="68" t="s">
        <v>752</v>
      </c>
      <c r="E168" s="69">
        <v>499</v>
      </c>
      <c r="F168" s="70">
        <v>14.33</v>
      </c>
      <c r="G168" s="70">
        <f>E168*F168</f>
        <v>7150.67</v>
      </c>
      <c r="H168" s="81"/>
      <c r="I168" s="71"/>
    </row>
    <row r="169" spans="1:9">
      <c r="A169" s="65"/>
      <c r="B169" s="190" t="s">
        <v>525</v>
      </c>
      <c r="C169" s="188"/>
      <c r="D169" s="68"/>
      <c r="E169" s="69"/>
      <c r="F169" s="70"/>
      <c r="G169" s="74">
        <f>SUM(G167:G168)</f>
        <v>26811.99</v>
      </c>
      <c r="H169" s="81"/>
      <c r="I169" s="71"/>
    </row>
    <row r="170" spans="1:9" s="10" customFormat="1" ht="15">
      <c r="A170" s="65" t="s">
        <v>327</v>
      </c>
      <c r="B170" s="184" t="s">
        <v>294</v>
      </c>
      <c r="C170" s="184"/>
      <c r="D170" s="77"/>
      <c r="E170" s="78"/>
      <c r="F170" s="74"/>
      <c r="G170" s="74"/>
      <c r="H170" s="81"/>
      <c r="I170" s="71"/>
    </row>
    <row r="171" spans="1:9" s="13" customFormat="1">
      <c r="A171" s="65" t="s">
        <v>379</v>
      </c>
      <c r="B171" s="189" t="s">
        <v>383</v>
      </c>
      <c r="C171" s="189"/>
      <c r="D171" s="68" t="s">
        <v>15</v>
      </c>
      <c r="E171" s="69">
        <v>2600</v>
      </c>
      <c r="F171" s="70">
        <v>36.28</v>
      </c>
      <c r="G171" s="70">
        <f>E171*F171</f>
        <v>94328</v>
      </c>
      <c r="H171" s="81"/>
      <c r="I171" s="71"/>
    </row>
    <row r="172" spans="1:9" s="13" customFormat="1">
      <c r="A172" s="65" t="s">
        <v>380</v>
      </c>
      <c r="B172" s="189" t="s">
        <v>382</v>
      </c>
      <c r="C172" s="189"/>
      <c r="D172" s="68" t="s">
        <v>15</v>
      </c>
      <c r="E172" s="69">
        <v>900</v>
      </c>
      <c r="F172" s="70">
        <v>36.28</v>
      </c>
      <c r="G172" s="70">
        <f>E172*F172</f>
        <v>32652</v>
      </c>
      <c r="H172" s="81"/>
      <c r="I172" s="71"/>
    </row>
    <row r="173" spans="1:9">
      <c r="A173" s="65"/>
      <c r="B173" s="190" t="s">
        <v>525</v>
      </c>
      <c r="C173" s="188"/>
      <c r="D173" s="68"/>
      <c r="E173" s="69"/>
      <c r="F173" s="70"/>
      <c r="G173" s="74">
        <f>SUM(G171:G172)</f>
        <v>126980</v>
      </c>
      <c r="H173" s="81"/>
      <c r="I173" s="71"/>
    </row>
    <row r="174" spans="1:9" ht="15">
      <c r="A174" s="65" t="s">
        <v>328</v>
      </c>
      <c r="B174" s="184" t="s">
        <v>293</v>
      </c>
      <c r="C174" s="184"/>
      <c r="D174" s="68"/>
      <c r="E174" s="69"/>
      <c r="F174" s="70"/>
      <c r="G174" s="70"/>
      <c r="H174" s="81"/>
      <c r="I174" s="71"/>
    </row>
    <row r="175" spans="1:9">
      <c r="A175" s="65" t="s">
        <v>381</v>
      </c>
      <c r="B175" s="189" t="s">
        <v>1096</v>
      </c>
      <c r="C175" s="189"/>
      <c r="D175" s="68" t="s">
        <v>752</v>
      </c>
      <c r="E175" s="69">
        <v>1241</v>
      </c>
      <c r="F175" s="70">
        <v>20.73</v>
      </c>
      <c r="G175" s="70">
        <f>E175*F175</f>
        <v>25725.93</v>
      </c>
      <c r="H175" s="81"/>
      <c r="I175" s="71"/>
    </row>
    <row r="176" spans="1:9">
      <c r="A176" s="65"/>
      <c r="B176" s="190" t="s">
        <v>525</v>
      </c>
      <c r="C176" s="188"/>
      <c r="D176" s="68"/>
      <c r="E176" s="69"/>
      <c r="F176" s="70"/>
      <c r="G176" s="74">
        <f>SUM(G175)</f>
        <v>25725.93</v>
      </c>
      <c r="H176" s="81"/>
      <c r="I176" s="71"/>
    </row>
    <row r="177" spans="1:9" ht="15">
      <c r="A177" s="65" t="s">
        <v>329</v>
      </c>
      <c r="B177" s="184" t="s">
        <v>292</v>
      </c>
      <c r="C177" s="184"/>
      <c r="D177" s="68"/>
      <c r="E177" s="69"/>
      <c r="F177" s="70"/>
      <c r="G177" s="70"/>
      <c r="H177" s="81"/>
      <c r="I177" s="71"/>
    </row>
    <row r="178" spans="1:9">
      <c r="A178" s="65" t="s">
        <v>387</v>
      </c>
      <c r="B178" s="189" t="s">
        <v>390</v>
      </c>
      <c r="C178" s="189"/>
      <c r="D178" s="68" t="s">
        <v>752</v>
      </c>
      <c r="E178" s="69">
        <v>35</v>
      </c>
      <c r="F178" s="70">
        <v>132</v>
      </c>
      <c r="G178" s="70">
        <f>E178*F178</f>
        <v>4620</v>
      </c>
      <c r="H178" s="81"/>
      <c r="I178" s="71"/>
    </row>
    <row r="179" spans="1:9">
      <c r="A179" s="65" t="s">
        <v>389</v>
      </c>
      <c r="B179" s="189" t="s">
        <v>320</v>
      </c>
      <c r="C179" s="189"/>
      <c r="D179" s="68" t="s">
        <v>752</v>
      </c>
      <c r="E179" s="69">
        <v>35</v>
      </c>
      <c r="F179" s="70">
        <v>122</v>
      </c>
      <c r="G179" s="70">
        <f>E179*F179</f>
        <v>4270</v>
      </c>
      <c r="H179" s="81"/>
      <c r="I179" s="71"/>
    </row>
    <row r="180" spans="1:9">
      <c r="A180" s="65"/>
      <c r="B180" s="190" t="s">
        <v>525</v>
      </c>
      <c r="C180" s="188"/>
      <c r="D180" s="68"/>
      <c r="E180" s="69"/>
      <c r="F180" s="70"/>
      <c r="G180" s="74">
        <f>SUM(G178:G179)</f>
        <v>8890</v>
      </c>
      <c r="H180" s="81"/>
      <c r="I180" s="71"/>
    </row>
    <row r="181" spans="1:9" ht="15">
      <c r="A181" s="65" t="s">
        <v>330</v>
      </c>
      <c r="B181" s="184" t="s">
        <v>291</v>
      </c>
      <c r="C181" s="184"/>
      <c r="D181" s="68"/>
      <c r="E181" s="69"/>
      <c r="F181" s="70"/>
      <c r="G181" s="70"/>
      <c r="H181" s="81"/>
      <c r="I181" s="71"/>
    </row>
    <row r="182" spans="1:9">
      <c r="A182" s="65" t="s">
        <v>386</v>
      </c>
      <c r="B182" s="189" t="s">
        <v>321</v>
      </c>
      <c r="C182" s="189"/>
      <c r="D182" s="68" t="s">
        <v>752</v>
      </c>
      <c r="E182" s="69">
        <v>84</v>
      </c>
      <c r="F182" s="70">
        <v>42</v>
      </c>
      <c r="G182" s="70">
        <f>E182*F182</f>
        <v>3528</v>
      </c>
      <c r="H182" s="81"/>
      <c r="I182" s="71"/>
    </row>
    <row r="183" spans="1:9">
      <c r="A183" s="65"/>
      <c r="B183" s="190" t="s">
        <v>525</v>
      </c>
      <c r="C183" s="188"/>
      <c r="D183" s="68"/>
      <c r="E183" s="69"/>
      <c r="F183" s="70"/>
      <c r="G183" s="74">
        <f>SUM(G182)</f>
        <v>3528</v>
      </c>
      <c r="H183" s="81"/>
      <c r="I183" s="71"/>
    </row>
    <row r="184" spans="1:9" ht="15">
      <c r="A184" s="65" t="s">
        <v>16</v>
      </c>
      <c r="B184" s="184" t="s">
        <v>296</v>
      </c>
      <c r="C184" s="184"/>
      <c r="D184" s="68" t="s">
        <v>761</v>
      </c>
      <c r="E184" s="69"/>
      <c r="F184" s="70"/>
      <c r="G184" s="70"/>
      <c r="H184" s="81"/>
      <c r="I184" s="71"/>
    </row>
    <row r="185" spans="1:9" ht="15">
      <c r="A185" s="65" t="s">
        <v>298</v>
      </c>
      <c r="B185" s="184" t="s">
        <v>299</v>
      </c>
      <c r="C185" s="184"/>
      <c r="D185" s="68"/>
      <c r="E185" s="69"/>
      <c r="F185" s="70"/>
      <c r="G185" s="70"/>
      <c r="H185" s="81"/>
      <c r="I185" s="71"/>
    </row>
    <row r="186" spans="1:9">
      <c r="A186" s="65" t="s">
        <v>17</v>
      </c>
      <c r="B186" s="189" t="s">
        <v>289</v>
      </c>
      <c r="C186" s="189"/>
      <c r="D186" s="68" t="s">
        <v>752</v>
      </c>
      <c r="E186" s="69">
        <v>3618</v>
      </c>
      <c r="F186" s="70">
        <v>2.21</v>
      </c>
      <c r="G186" s="70">
        <f>E186*F186</f>
        <v>7995.78</v>
      </c>
      <c r="H186" s="81"/>
      <c r="I186" s="71"/>
    </row>
    <row r="187" spans="1:9">
      <c r="A187" s="65" t="s">
        <v>952</v>
      </c>
      <c r="B187" s="189" t="s">
        <v>1084</v>
      </c>
      <c r="C187" s="189"/>
      <c r="D187" s="68" t="s">
        <v>752</v>
      </c>
      <c r="E187" s="69">
        <v>885</v>
      </c>
      <c r="F187" s="70">
        <v>10.47</v>
      </c>
      <c r="G187" s="70">
        <f>E187*F187</f>
        <v>9265.9500000000007</v>
      </c>
      <c r="H187" s="81"/>
      <c r="I187" s="71"/>
    </row>
    <row r="188" spans="1:9">
      <c r="A188" s="65" t="s">
        <v>953</v>
      </c>
      <c r="B188" s="189" t="s">
        <v>1085</v>
      </c>
      <c r="C188" s="189"/>
      <c r="D188" s="68" t="s">
        <v>752</v>
      </c>
      <c r="E188" s="69">
        <v>2733</v>
      </c>
      <c r="F188" s="70">
        <v>11.14</v>
      </c>
      <c r="G188" s="70">
        <f>E188*F188</f>
        <v>30445.62</v>
      </c>
      <c r="H188" s="81"/>
      <c r="I188" s="71"/>
    </row>
    <row r="189" spans="1:9">
      <c r="A189" s="65"/>
      <c r="B189" s="190" t="s">
        <v>525</v>
      </c>
      <c r="C189" s="188"/>
      <c r="D189" s="68"/>
      <c r="E189" s="69"/>
      <c r="F189" s="70"/>
      <c r="G189" s="74">
        <f>SUM(G186:G188)</f>
        <v>47707.35</v>
      </c>
      <c r="H189" s="81"/>
      <c r="I189" s="71"/>
    </row>
    <row r="190" spans="1:9" ht="15">
      <c r="A190" s="65" t="s">
        <v>954</v>
      </c>
      <c r="B190" s="184" t="s">
        <v>302</v>
      </c>
      <c r="C190" s="184"/>
      <c r="D190" s="68"/>
      <c r="E190" s="69"/>
      <c r="F190" s="70"/>
      <c r="G190" s="74"/>
      <c r="H190" s="81"/>
      <c r="I190" s="71"/>
    </row>
    <row r="191" spans="1:9">
      <c r="A191" s="65" t="s">
        <v>303</v>
      </c>
      <c r="B191" s="189" t="s">
        <v>1086</v>
      </c>
      <c r="C191" s="189"/>
      <c r="D191" s="68" t="s">
        <v>752</v>
      </c>
      <c r="E191" s="69">
        <v>885</v>
      </c>
      <c r="F191" s="70">
        <v>40.700000000000003</v>
      </c>
      <c r="G191" s="70">
        <f>E191*F191</f>
        <v>36019.5</v>
      </c>
      <c r="H191" s="81"/>
      <c r="I191" s="71"/>
    </row>
    <row r="192" spans="1:9">
      <c r="A192" s="65"/>
      <c r="B192" s="190" t="s">
        <v>525</v>
      </c>
      <c r="C192" s="188"/>
      <c r="D192" s="68"/>
      <c r="E192" s="69"/>
      <c r="F192" s="70"/>
      <c r="G192" s="74">
        <f>SUM(G191)</f>
        <v>36019.5</v>
      </c>
      <c r="H192" s="81"/>
      <c r="I192" s="71"/>
    </row>
    <row r="193" spans="1:9" ht="15">
      <c r="A193" s="65" t="s">
        <v>331</v>
      </c>
      <c r="B193" s="184" t="s">
        <v>304</v>
      </c>
      <c r="C193" s="184"/>
      <c r="D193" s="68"/>
      <c r="E193" s="69"/>
      <c r="F193" s="70"/>
      <c r="G193" s="70"/>
      <c r="H193" s="81"/>
      <c r="I193" s="71"/>
    </row>
    <row r="194" spans="1:9">
      <c r="A194" s="65" t="s">
        <v>1003</v>
      </c>
      <c r="B194" s="189" t="s">
        <v>1002</v>
      </c>
      <c r="C194" s="189"/>
      <c r="D194" s="68" t="s">
        <v>752</v>
      </c>
      <c r="E194" s="69">
        <v>50</v>
      </c>
      <c r="F194" s="70">
        <v>182</v>
      </c>
      <c r="G194" s="70">
        <f>E194*F194</f>
        <v>9100</v>
      </c>
      <c r="H194" s="81"/>
      <c r="I194" s="71"/>
    </row>
    <row r="195" spans="1:9">
      <c r="A195" s="65"/>
      <c r="B195" s="190" t="s">
        <v>525</v>
      </c>
      <c r="C195" s="188"/>
      <c r="D195" s="68"/>
      <c r="E195" s="69"/>
      <c r="F195" s="70"/>
      <c r="G195" s="74">
        <f>SUM(G194)</f>
        <v>9100</v>
      </c>
      <c r="H195" s="81"/>
      <c r="I195" s="71"/>
    </row>
    <row r="196" spans="1:9" ht="15">
      <c r="A196" s="65" t="s">
        <v>332</v>
      </c>
      <c r="B196" s="184" t="s">
        <v>300</v>
      </c>
      <c r="C196" s="184"/>
      <c r="D196" s="68"/>
      <c r="E196" s="69"/>
      <c r="F196" s="70"/>
      <c r="G196" s="70"/>
      <c r="H196" s="81"/>
      <c r="I196" s="71"/>
    </row>
    <row r="197" spans="1:9">
      <c r="A197" s="65" t="s">
        <v>301</v>
      </c>
      <c r="B197" s="189" t="s">
        <v>290</v>
      </c>
      <c r="C197" s="189"/>
      <c r="D197" s="68" t="s">
        <v>752</v>
      </c>
      <c r="E197" s="69">
        <v>1784</v>
      </c>
      <c r="F197" s="70">
        <v>12.5</v>
      </c>
      <c r="G197" s="70">
        <f>E197*F197</f>
        <v>22300</v>
      </c>
      <c r="H197" s="81"/>
      <c r="I197" s="71"/>
    </row>
    <row r="198" spans="1:9">
      <c r="A198" s="65"/>
      <c r="B198" s="190" t="s">
        <v>525</v>
      </c>
      <c r="C198" s="188"/>
      <c r="D198" s="68"/>
      <c r="E198" s="69"/>
      <c r="F198" s="70"/>
      <c r="G198" s="74">
        <f>SUM(G197)</f>
        <v>22300</v>
      </c>
      <c r="H198" s="81"/>
      <c r="I198" s="71"/>
    </row>
    <row r="199" spans="1:9" ht="15">
      <c r="A199" s="65" t="s">
        <v>955</v>
      </c>
      <c r="B199" s="184" t="s">
        <v>201</v>
      </c>
      <c r="C199" s="184"/>
      <c r="D199" s="68" t="s">
        <v>761</v>
      </c>
      <c r="E199" s="69"/>
      <c r="F199" s="70"/>
      <c r="G199" s="70"/>
      <c r="H199" s="81"/>
      <c r="I199" s="71"/>
    </row>
    <row r="200" spans="1:9" ht="15">
      <c r="A200" s="65" t="s">
        <v>956</v>
      </c>
      <c r="B200" s="184" t="s">
        <v>333</v>
      </c>
      <c r="C200" s="184"/>
      <c r="D200" s="68"/>
      <c r="E200" s="69"/>
      <c r="F200" s="70"/>
      <c r="G200" s="70"/>
      <c r="H200" s="81"/>
      <c r="I200" s="71"/>
    </row>
    <row r="201" spans="1:9">
      <c r="A201" s="65" t="s">
        <v>469</v>
      </c>
      <c r="B201" s="189" t="s">
        <v>468</v>
      </c>
      <c r="C201" s="189"/>
      <c r="D201" s="68" t="s">
        <v>752</v>
      </c>
      <c r="E201" s="69">
        <v>616</v>
      </c>
      <c r="F201" s="70">
        <v>2.21</v>
      </c>
      <c r="G201" s="70">
        <f>E201*F201</f>
        <v>1361.36</v>
      </c>
      <c r="H201" s="81"/>
      <c r="I201" s="71"/>
    </row>
    <row r="202" spans="1:9">
      <c r="A202" s="65" t="s">
        <v>470</v>
      </c>
      <c r="B202" s="189" t="s">
        <v>1085</v>
      </c>
      <c r="C202" s="189"/>
      <c r="D202" s="68" t="s">
        <v>752</v>
      </c>
      <c r="E202" s="69">
        <v>616</v>
      </c>
      <c r="F202" s="70">
        <v>10.47</v>
      </c>
      <c r="G202" s="70">
        <f>E202*F202</f>
        <v>6449.52</v>
      </c>
      <c r="H202" s="81"/>
      <c r="I202" s="71"/>
    </row>
    <row r="203" spans="1:9">
      <c r="A203" s="65"/>
      <c r="B203" s="190" t="s">
        <v>525</v>
      </c>
      <c r="C203" s="188"/>
      <c r="D203" s="68"/>
      <c r="E203" s="69"/>
      <c r="F203" s="70"/>
      <c r="G203" s="74">
        <f>SUM(G201:G202)</f>
        <v>7810.88</v>
      </c>
      <c r="H203" s="81"/>
      <c r="I203" s="71"/>
    </row>
    <row r="204" spans="1:9" ht="15">
      <c r="A204" s="65" t="s">
        <v>334</v>
      </c>
      <c r="B204" s="184" t="s">
        <v>305</v>
      </c>
      <c r="C204" s="184"/>
      <c r="D204" s="68"/>
      <c r="E204" s="69"/>
      <c r="F204" s="70"/>
      <c r="G204" s="70"/>
      <c r="H204" s="81"/>
      <c r="I204" s="71"/>
    </row>
    <row r="205" spans="1:9">
      <c r="A205" s="65" t="s">
        <v>306</v>
      </c>
      <c r="B205" s="193" t="s">
        <v>297</v>
      </c>
      <c r="C205" s="194"/>
      <c r="D205" s="68" t="s">
        <v>752</v>
      </c>
      <c r="E205" s="69">
        <v>899</v>
      </c>
      <c r="F205" s="70">
        <v>27</v>
      </c>
      <c r="G205" s="70">
        <f>E205*F205</f>
        <v>24273</v>
      </c>
      <c r="H205" s="81"/>
      <c r="I205" s="71"/>
    </row>
    <row r="206" spans="1:9">
      <c r="A206" s="65"/>
      <c r="B206" s="190" t="s">
        <v>525</v>
      </c>
      <c r="C206" s="188"/>
      <c r="D206" s="68"/>
      <c r="E206" s="69"/>
      <c r="F206" s="70"/>
      <c r="G206" s="74">
        <f>SUM(G205)</f>
        <v>24273</v>
      </c>
      <c r="H206" s="81"/>
      <c r="I206" s="71"/>
    </row>
    <row r="207" spans="1:9" ht="15">
      <c r="A207" s="65" t="s">
        <v>957</v>
      </c>
      <c r="B207" s="184" t="s">
        <v>958</v>
      </c>
      <c r="C207" s="184"/>
      <c r="D207" s="68"/>
      <c r="E207" s="69"/>
      <c r="F207" s="70"/>
      <c r="G207" s="70"/>
      <c r="H207" s="81"/>
      <c r="I207" s="71"/>
    </row>
    <row r="208" spans="1:9" ht="15">
      <c r="A208" s="65" t="s">
        <v>959</v>
      </c>
      <c r="B208" s="184" t="s">
        <v>309</v>
      </c>
      <c r="C208" s="184"/>
      <c r="D208" s="68"/>
      <c r="E208" s="69"/>
      <c r="F208" s="70"/>
      <c r="G208" s="70"/>
      <c r="H208" s="81"/>
      <c r="I208" s="71"/>
    </row>
    <row r="209" spans="1:9">
      <c r="A209" s="65" t="s">
        <v>471</v>
      </c>
      <c r="B209" s="189" t="s">
        <v>307</v>
      </c>
      <c r="C209" s="189"/>
      <c r="D209" s="68" t="s">
        <v>752</v>
      </c>
      <c r="E209" s="69">
        <v>1515</v>
      </c>
      <c r="F209" s="70">
        <v>6.48</v>
      </c>
      <c r="G209" s="70">
        <f>E209*F209</f>
        <v>9817.2000000000007</v>
      </c>
      <c r="H209" s="81"/>
      <c r="I209" s="71"/>
    </row>
    <row r="210" spans="1:9">
      <c r="A210" s="65" t="s">
        <v>472</v>
      </c>
      <c r="B210" s="189" t="s">
        <v>308</v>
      </c>
      <c r="C210" s="189"/>
      <c r="D210" s="68" t="s">
        <v>752</v>
      </c>
      <c r="E210" s="69">
        <v>2733</v>
      </c>
      <c r="F210" s="70">
        <v>6.48</v>
      </c>
      <c r="G210" s="70">
        <f>E210*F210</f>
        <v>17709.84</v>
      </c>
      <c r="H210" s="81"/>
      <c r="I210" s="71"/>
    </row>
    <row r="211" spans="1:9">
      <c r="A211" s="65"/>
      <c r="B211" s="190" t="s">
        <v>525</v>
      </c>
      <c r="C211" s="188"/>
      <c r="D211" s="68"/>
      <c r="E211" s="69"/>
      <c r="F211" s="70"/>
      <c r="G211" s="74">
        <f>SUM(G209:G210)</f>
        <v>27527.040000000001</v>
      </c>
      <c r="H211" s="81"/>
      <c r="I211" s="71"/>
    </row>
    <row r="212" spans="1:9" ht="15">
      <c r="A212" s="65" t="s">
        <v>335</v>
      </c>
      <c r="B212" s="184" t="s">
        <v>314</v>
      </c>
      <c r="C212" s="184"/>
      <c r="D212" s="68"/>
      <c r="E212" s="69"/>
      <c r="F212" s="70"/>
      <c r="G212" s="70"/>
      <c r="H212" s="81"/>
      <c r="I212" s="71"/>
    </row>
    <row r="213" spans="1:9">
      <c r="A213" s="65" t="s">
        <v>312</v>
      </c>
      <c r="B213" s="189" t="s">
        <v>1097</v>
      </c>
      <c r="C213" s="189"/>
      <c r="D213" s="68" t="s">
        <v>752</v>
      </c>
      <c r="E213" s="69">
        <v>866</v>
      </c>
      <c r="F213" s="70">
        <v>7.52</v>
      </c>
      <c r="G213" s="70">
        <f>E213*F213</f>
        <v>6512.32</v>
      </c>
      <c r="H213" s="81"/>
      <c r="I213" s="71"/>
    </row>
    <row r="214" spans="1:9">
      <c r="A214" s="65"/>
      <c r="B214" s="190" t="s">
        <v>525</v>
      </c>
      <c r="C214" s="188"/>
      <c r="D214" s="68"/>
      <c r="E214" s="69"/>
      <c r="F214" s="70"/>
      <c r="G214" s="74">
        <f>SUM(G213)</f>
        <v>6512.32</v>
      </c>
      <c r="H214" s="81"/>
      <c r="I214" s="71"/>
    </row>
    <row r="215" spans="1:9" ht="15">
      <c r="A215" s="65" t="s">
        <v>960</v>
      </c>
      <c r="B215" s="184" t="s">
        <v>310</v>
      </c>
      <c r="C215" s="184"/>
      <c r="D215" s="68"/>
      <c r="E215" s="69"/>
      <c r="F215" s="70"/>
      <c r="G215" s="70"/>
      <c r="H215" s="81"/>
      <c r="I215" s="71"/>
    </row>
    <row r="216" spans="1:9">
      <c r="A216" s="65" t="s">
        <v>313</v>
      </c>
      <c r="B216" s="189" t="s">
        <v>1098</v>
      </c>
      <c r="C216" s="189"/>
      <c r="D216" s="68" t="s">
        <v>752</v>
      </c>
      <c r="E216" s="69">
        <v>1515</v>
      </c>
      <c r="F216" s="70">
        <v>12.68</v>
      </c>
      <c r="G216" s="70">
        <f>E216*F216</f>
        <v>19210.2</v>
      </c>
      <c r="H216" s="81"/>
      <c r="I216" s="71"/>
    </row>
    <row r="217" spans="1:9">
      <c r="A217" s="65"/>
      <c r="B217" s="190" t="s">
        <v>525</v>
      </c>
      <c r="C217" s="188"/>
      <c r="D217" s="68"/>
      <c r="E217" s="69"/>
      <c r="F217" s="70"/>
      <c r="G217" s="74">
        <f>SUM(G216)</f>
        <v>19210.2</v>
      </c>
      <c r="H217" s="81"/>
      <c r="I217" s="71"/>
    </row>
    <row r="218" spans="1:9" ht="15">
      <c r="A218" s="65" t="s">
        <v>961</v>
      </c>
      <c r="B218" s="184" t="s">
        <v>311</v>
      </c>
      <c r="C218" s="184"/>
      <c r="D218" s="68"/>
      <c r="E218" s="69"/>
      <c r="F218" s="70"/>
      <c r="G218" s="70"/>
      <c r="H218" s="81"/>
      <c r="I218" s="71"/>
    </row>
    <row r="219" spans="1:9">
      <c r="A219" s="65" t="s">
        <v>475</v>
      </c>
      <c r="B219" s="189" t="s">
        <v>1087</v>
      </c>
      <c r="C219" s="189"/>
      <c r="D219" s="68" t="s">
        <v>752</v>
      </c>
      <c r="E219" s="69">
        <v>2733</v>
      </c>
      <c r="F219" s="70">
        <v>8.08</v>
      </c>
      <c r="G219" s="70">
        <f>E219*F219</f>
        <v>22082.639999999999</v>
      </c>
      <c r="H219" s="81"/>
      <c r="I219" s="71"/>
    </row>
    <row r="220" spans="1:9">
      <c r="A220" s="65"/>
      <c r="B220" s="190" t="s">
        <v>525</v>
      </c>
      <c r="C220" s="188"/>
      <c r="D220" s="68"/>
      <c r="E220" s="69"/>
      <c r="F220" s="70"/>
      <c r="G220" s="74">
        <f>SUM(G219)</f>
        <v>22082.639999999999</v>
      </c>
      <c r="H220" s="81"/>
      <c r="I220" s="71"/>
    </row>
    <row r="221" spans="1:9" ht="15">
      <c r="A221" s="65" t="s">
        <v>962</v>
      </c>
      <c r="B221" s="184" t="s">
        <v>473</v>
      </c>
      <c r="C221" s="184"/>
      <c r="D221" s="68"/>
      <c r="E221" s="69"/>
      <c r="F221" s="70"/>
      <c r="G221" s="70"/>
      <c r="H221" s="81"/>
      <c r="I221" s="71"/>
    </row>
    <row r="222" spans="1:9">
      <c r="A222" s="65" t="s">
        <v>474</v>
      </c>
      <c r="B222" s="189" t="s">
        <v>554</v>
      </c>
      <c r="C222" s="189"/>
      <c r="D222" s="68" t="s">
        <v>752</v>
      </c>
      <c r="E222" s="69">
        <v>259</v>
      </c>
      <c r="F222" s="70">
        <v>7.81</v>
      </c>
      <c r="G222" s="70">
        <f>E222*F222</f>
        <v>2022.79</v>
      </c>
      <c r="H222" s="81"/>
      <c r="I222" s="71"/>
    </row>
    <row r="223" spans="1:9">
      <c r="A223" s="65"/>
      <c r="B223" s="190" t="s">
        <v>525</v>
      </c>
      <c r="C223" s="188"/>
      <c r="D223" s="68"/>
      <c r="E223" s="69"/>
      <c r="F223" s="70"/>
      <c r="G223" s="74">
        <f>SUM(G222)</f>
        <v>2022.79</v>
      </c>
      <c r="H223" s="81"/>
      <c r="I223" s="71"/>
    </row>
    <row r="224" spans="1:9" ht="15">
      <c r="A224" s="65" t="s">
        <v>1103</v>
      </c>
      <c r="B224" s="184" t="s">
        <v>1102</v>
      </c>
      <c r="C224" s="184"/>
      <c r="D224" s="68"/>
      <c r="E224" s="69"/>
      <c r="F224" s="70"/>
      <c r="G224" s="70"/>
      <c r="H224" s="81"/>
      <c r="I224" s="71"/>
    </row>
    <row r="225" spans="1:9">
      <c r="A225" s="65" t="s">
        <v>1104</v>
      </c>
      <c r="B225" s="189" t="s">
        <v>1105</v>
      </c>
      <c r="C225" s="189"/>
      <c r="D225" s="68" t="s">
        <v>752</v>
      </c>
      <c r="E225" s="69">
        <v>1037</v>
      </c>
      <c r="F225" s="70">
        <v>2.83</v>
      </c>
      <c r="G225" s="70">
        <f>E225*F225</f>
        <v>2934.71</v>
      </c>
      <c r="H225" s="81"/>
      <c r="I225" s="71"/>
    </row>
    <row r="226" spans="1:9">
      <c r="A226" s="65"/>
      <c r="B226" s="190" t="s">
        <v>525</v>
      </c>
      <c r="C226" s="188"/>
      <c r="D226" s="68"/>
      <c r="E226" s="69"/>
      <c r="F226" s="70"/>
      <c r="G226" s="74">
        <f>SUM(G225)</f>
        <v>2934.71</v>
      </c>
      <c r="H226" s="81"/>
      <c r="I226" s="71"/>
    </row>
    <row r="227" spans="1:9" ht="15">
      <c r="A227" s="65" t="s">
        <v>963</v>
      </c>
      <c r="B227" s="184" t="s">
        <v>964</v>
      </c>
      <c r="C227" s="184"/>
      <c r="D227" s="68" t="s">
        <v>761</v>
      </c>
      <c r="E227" s="69"/>
      <c r="F227" s="70"/>
      <c r="G227" s="70"/>
      <c r="H227" s="81"/>
      <c r="I227" s="71"/>
    </row>
    <row r="228" spans="1:9" ht="15">
      <c r="A228" s="65" t="s">
        <v>965</v>
      </c>
      <c r="B228" s="184" t="s">
        <v>1106</v>
      </c>
      <c r="C228" s="184"/>
      <c r="D228" s="68" t="s">
        <v>761</v>
      </c>
      <c r="E228" s="69"/>
      <c r="F228" s="70"/>
      <c r="G228" s="70"/>
      <c r="H228" s="81"/>
      <c r="I228" s="71"/>
    </row>
    <row r="229" spans="1:9">
      <c r="A229" s="65" t="s">
        <v>551</v>
      </c>
      <c r="B229" s="189" t="s">
        <v>1099</v>
      </c>
      <c r="C229" s="189"/>
      <c r="D229" s="68" t="s">
        <v>752</v>
      </c>
      <c r="E229" s="69">
        <v>1086</v>
      </c>
      <c r="F229" s="70">
        <v>26.6</v>
      </c>
      <c r="G229" s="70">
        <f>E229*F229</f>
        <v>28887.599999999999</v>
      </c>
      <c r="H229" s="81"/>
      <c r="I229" s="71"/>
    </row>
    <row r="230" spans="1:9">
      <c r="A230" s="65" t="s">
        <v>552</v>
      </c>
      <c r="B230" s="189" t="s">
        <v>1100</v>
      </c>
      <c r="C230" s="189"/>
      <c r="D230" s="68" t="s">
        <v>752</v>
      </c>
      <c r="E230" s="69">
        <v>1086</v>
      </c>
      <c r="F230" s="70">
        <v>12.38</v>
      </c>
      <c r="G230" s="70">
        <f>E230*F230</f>
        <v>13444.68</v>
      </c>
      <c r="H230" s="81"/>
      <c r="I230" s="71"/>
    </row>
    <row r="231" spans="1:9">
      <c r="A231" s="65" t="s">
        <v>1101</v>
      </c>
      <c r="B231" s="189" t="s">
        <v>1088</v>
      </c>
      <c r="C231" s="189"/>
      <c r="D231" s="68" t="s">
        <v>752</v>
      </c>
      <c r="E231" s="69">
        <v>1086</v>
      </c>
      <c r="F231" s="70">
        <v>8.69</v>
      </c>
      <c r="G231" s="70">
        <f>E231*F231</f>
        <v>9437.34</v>
      </c>
      <c r="H231" s="81"/>
      <c r="I231" s="71"/>
    </row>
    <row r="232" spans="1:9">
      <c r="A232" s="65"/>
      <c r="B232" s="190" t="s">
        <v>525</v>
      </c>
      <c r="C232" s="188"/>
      <c r="D232" s="68"/>
      <c r="E232" s="69"/>
      <c r="F232" s="70"/>
      <c r="G232" s="74">
        <f>SUM(G229:G231)</f>
        <v>51769.62</v>
      </c>
      <c r="H232" s="81"/>
      <c r="I232" s="71"/>
    </row>
    <row r="233" spans="1:9" ht="15">
      <c r="A233" s="65" t="s">
        <v>336</v>
      </c>
      <c r="B233" s="185" t="s">
        <v>316</v>
      </c>
      <c r="C233" s="186"/>
      <c r="D233" s="68"/>
      <c r="E233" s="69"/>
      <c r="F233" s="70"/>
      <c r="G233" s="70"/>
      <c r="H233" s="81"/>
      <c r="I233" s="71"/>
    </row>
    <row r="234" spans="1:9">
      <c r="A234" s="65" t="s">
        <v>317</v>
      </c>
      <c r="B234" s="189" t="s">
        <v>315</v>
      </c>
      <c r="C234" s="189"/>
      <c r="D234" s="68" t="s">
        <v>752</v>
      </c>
      <c r="E234" s="69">
        <v>68</v>
      </c>
      <c r="F234" s="70">
        <v>12.38</v>
      </c>
      <c r="G234" s="70">
        <f>E234*F234</f>
        <v>841.84</v>
      </c>
      <c r="H234" s="81"/>
      <c r="I234" s="71"/>
    </row>
    <row r="235" spans="1:9">
      <c r="A235" s="65" t="s">
        <v>318</v>
      </c>
      <c r="B235" s="189" t="s">
        <v>1037</v>
      </c>
      <c r="C235" s="189"/>
      <c r="D235" s="68" t="s">
        <v>752</v>
      </c>
      <c r="E235" s="69">
        <v>68</v>
      </c>
      <c r="F235" s="70">
        <v>17.86</v>
      </c>
      <c r="G235" s="70">
        <f>E235*F235</f>
        <v>1214.48</v>
      </c>
      <c r="H235" s="81"/>
      <c r="I235" s="71"/>
    </row>
    <row r="236" spans="1:9">
      <c r="A236" s="65" t="s">
        <v>1036</v>
      </c>
      <c r="B236" s="189" t="s">
        <v>1038</v>
      </c>
      <c r="C236" s="189"/>
      <c r="D236" s="68" t="s">
        <v>753</v>
      </c>
      <c r="E236" s="69">
        <v>109</v>
      </c>
      <c r="F236" s="70">
        <v>143</v>
      </c>
      <c r="G236" s="70">
        <f>E236*F236</f>
        <v>15587</v>
      </c>
      <c r="H236" s="81"/>
      <c r="I236" s="71"/>
    </row>
    <row r="237" spans="1:9">
      <c r="A237" s="65"/>
      <c r="B237" s="190" t="s">
        <v>525</v>
      </c>
      <c r="C237" s="188"/>
      <c r="D237" s="68"/>
      <c r="E237" s="69"/>
      <c r="F237" s="70"/>
      <c r="G237" s="74">
        <f>SUM(G234:G236)</f>
        <v>17643.32</v>
      </c>
      <c r="H237" s="81"/>
      <c r="I237" s="71"/>
    </row>
    <row r="238" spans="1:9" ht="15">
      <c r="A238" s="65" t="s">
        <v>966</v>
      </c>
      <c r="B238" s="184" t="s">
        <v>967</v>
      </c>
      <c r="C238" s="184"/>
      <c r="D238" s="68" t="s">
        <v>761</v>
      </c>
      <c r="E238" s="69"/>
      <c r="F238" s="70"/>
      <c r="G238" s="70"/>
      <c r="H238" s="81"/>
      <c r="I238" s="71"/>
    </row>
    <row r="239" spans="1:9">
      <c r="A239" s="65" t="s">
        <v>968</v>
      </c>
      <c r="B239" s="189" t="s">
        <v>319</v>
      </c>
      <c r="C239" s="189"/>
      <c r="D239" s="68" t="s">
        <v>755</v>
      </c>
      <c r="E239" s="69">
        <v>1376</v>
      </c>
      <c r="F239" s="70">
        <v>7</v>
      </c>
      <c r="G239" s="70">
        <f>E239*F239</f>
        <v>9632</v>
      </c>
      <c r="H239" s="81"/>
      <c r="I239" s="71"/>
    </row>
    <row r="240" spans="1:9">
      <c r="A240" s="65" t="s">
        <v>396</v>
      </c>
      <c r="B240" s="189" t="s">
        <v>553</v>
      </c>
      <c r="C240" s="189"/>
      <c r="D240" s="68" t="s">
        <v>755</v>
      </c>
      <c r="E240" s="69">
        <v>74</v>
      </c>
      <c r="F240" s="70">
        <v>23</v>
      </c>
      <c r="G240" s="70">
        <f>E240*F240</f>
        <v>1702</v>
      </c>
      <c r="H240" s="81"/>
      <c r="I240" s="71"/>
    </row>
    <row r="241" spans="1:9">
      <c r="A241" s="65"/>
      <c r="B241" s="190" t="s">
        <v>525</v>
      </c>
      <c r="C241" s="188"/>
      <c r="D241" s="68"/>
      <c r="E241" s="69"/>
      <c r="F241" s="70"/>
      <c r="G241" s="74">
        <f>SUM(G239:G240)</f>
        <v>11334</v>
      </c>
      <c r="H241" s="81"/>
      <c r="I241" s="71"/>
    </row>
    <row r="242" spans="1:9" ht="15">
      <c r="A242" s="65" t="s">
        <v>337</v>
      </c>
      <c r="B242" s="185" t="s">
        <v>338</v>
      </c>
      <c r="C242" s="186"/>
      <c r="D242" s="68"/>
      <c r="E242" s="69"/>
      <c r="F242" s="70"/>
      <c r="G242" s="70"/>
      <c r="H242" s="81"/>
      <c r="I242" s="71"/>
    </row>
    <row r="243" spans="1:9">
      <c r="A243" s="65" t="s">
        <v>339</v>
      </c>
      <c r="B243" s="187" t="s">
        <v>1005</v>
      </c>
      <c r="C243" s="188"/>
      <c r="D243" s="68" t="s">
        <v>755</v>
      </c>
      <c r="E243" s="69">
        <v>12</v>
      </c>
      <c r="F243" s="70">
        <v>35.159999999999997</v>
      </c>
      <c r="G243" s="70">
        <f>E243*F243</f>
        <v>421.92</v>
      </c>
      <c r="H243" s="81"/>
      <c r="I243" s="71"/>
    </row>
    <row r="244" spans="1:9">
      <c r="A244" s="65" t="s">
        <v>340</v>
      </c>
      <c r="B244" s="187" t="s">
        <v>1107</v>
      </c>
      <c r="C244" s="188"/>
      <c r="D244" s="68" t="s">
        <v>755</v>
      </c>
      <c r="E244" s="69">
        <v>21</v>
      </c>
      <c r="F244" s="70">
        <v>320</v>
      </c>
      <c r="G244" s="70">
        <f>E244*F244</f>
        <v>6720</v>
      </c>
      <c r="H244" s="81"/>
      <c r="I244" s="71"/>
    </row>
    <row r="245" spans="1:9">
      <c r="A245" s="65" t="s">
        <v>887</v>
      </c>
      <c r="B245" s="187" t="s">
        <v>187</v>
      </c>
      <c r="C245" s="188"/>
      <c r="D245" s="68" t="s">
        <v>757</v>
      </c>
      <c r="E245" s="69">
        <v>1</v>
      </c>
      <c r="F245" s="70">
        <v>226.05</v>
      </c>
      <c r="G245" s="70">
        <f>E245*F245</f>
        <v>226.05</v>
      </c>
      <c r="H245" s="81"/>
      <c r="I245" s="71"/>
    </row>
    <row r="246" spans="1:9">
      <c r="A246" s="65" t="s">
        <v>888</v>
      </c>
      <c r="B246" s="187" t="s">
        <v>188</v>
      </c>
      <c r="C246" s="188"/>
      <c r="D246" s="68" t="s">
        <v>757</v>
      </c>
      <c r="E246" s="69">
        <v>1</v>
      </c>
      <c r="F246" s="70">
        <v>337.72</v>
      </c>
      <c r="G246" s="70">
        <f>E246*F246</f>
        <v>337.72</v>
      </c>
      <c r="H246" s="81"/>
      <c r="I246" s="71"/>
    </row>
    <row r="247" spans="1:9">
      <c r="A247" s="65" t="s">
        <v>341</v>
      </c>
      <c r="B247" s="187" t="s">
        <v>886</v>
      </c>
      <c r="C247" s="188"/>
      <c r="D247" s="68" t="s">
        <v>755</v>
      </c>
      <c r="E247" s="69">
        <v>15</v>
      </c>
      <c r="F247" s="70">
        <v>118.73</v>
      </c>
      <c r="G247" s="70">
        <f>E247*F247</f>
        <v>1780.95</v>
      </c>
      <c r="H247" s="81"/>
      <c r="I247" s="71"/>
    </row>
    <row r="248" spans="1:9">
      <c r="A248" s="65"/>
      <c r="B248" s="190" t="s">
        <v>525</v>
      </c>
      <c r="C248" s="188"/>
      <c r="D248" s="68"/>
      <c r="E248" s="69"/>
      <c r="F248" s="70"/>
      <c r="G248" s="74">
        <f>SUM(G243:G247)</f>
        <v>9486.64</v>
      </c>
      <c r="H248" s="81"/>
      <c r="I248" s="71"/>
    </row>
    <row r="249" spans="1:9" ht="15">
      <c r="A249" s="65" t="s">
        <v>397</v>
      </c>
      <c r="B249" s="184" t="s">
        <v>398</v>
      </c>
      <c r="C249" s="184"/>
      <c r="D249" s="68" t="s">
        <v>761</v>
      </c>
      <c r="E249" s="69"/>
      <c r="F249" s="70"/>
      <c r="G249" s="70"/>
      <c r="H249" s="81"/>
      <c r="I249" s="71"/>
    </row>
    <row r="250" spans="1:9" ht="15">
      <c r="A250" s="65" t="s">
        <v>399</v>
      </c>
      <c r="B250" s="184" t="s">
        <v>400</v>
      </c>
      <c r="C250" s="184"/>
      <c r="D250" s="68" t="s">
        <v>761</v>
      </c>
      <c r="E250" s="69"/>
      <c r="F250" s="70"/>
      <c r="G250" s="70"/>
      <c r="H250" s="81"/>
      <c r="I250" s="71"/>
    </row>
    <row r="251" spans="1:9">
      <c r="A251" s="65" t="s">
        <v>401</v>
      </c>
      <c r="B251" s="189" t="s">
        <v>555</v>
      </c>
      <c r="C251" s="189"/>
      <c r="D251" s="68" t="s">
        <v>757</v>
      </c>
      <c r="E251" s="69">
        <v>58</v>
      </c>
      <c r="F251" s="70">
        <v>80</v>
      </c>
      <c r="G251" s="70">
        <f>E251*F251</f>
        <v>4640</v>
      </c>
      <c r="H251" s="81"/>
      <c r="I251" s="71"/>
    </row>
    <row r="252" spans="1:9">
      <c r="A252" s="65"/>
      <c r="B252" s="190" t="s">
        <v>525</v>
      </c>
      <c r="C252" s="188"/>
      <c r="D252" s="68"/>
      <c r="E252" s="69"/>
      <c r="F252" s="70"/>
      <c r="G252" s="74">
        <f>SUM(G251)</f>
        <v>4640</v>
      </c>
      <c r="H252" s="81"/>
      <c r="I252" s="71"/>
    </row>
    <row r="253" spans="1:9" ht="15">
      <c r="A253" s="65" t="s">
        <v>342</v>
      </c>
      <c r="B253" s="185" t="s">
        <v>343</v>
      </c>
      <c r="C253" s="186"/>
      <c r="D253" s="68" t="s">
        <v>761</v>
      </c>
      <c r="E253" s="69"/>
      <c r="F253" s="70"/>
      <c r="G253" s="70"/>
      <c r="H253" s="81"/>
      <c r="I253" s="71"/>
    </row>
    <row r="254" spans="1:9" ht="15">
      <c r="A254" s="65" t="s">
        <v>67</v>
      </c>
      <c r="B254" s="185" t="s">
        <v>68</v>
      </c>
      <c r="C254" s="186"/>
      <c r="D254" s="68"/>
      <c r="E254" s="69"/>
      <c r="F254" s="70"/>
      <c r="G254" s="70"/>
      <c r="H254" s="81"/>
      <c r="I254" s="71"/>
    </row>
    <row r="255" spans="1:9">
      <c r="A255" s="65" t="s">
        <v>69</v>
      </c>
      <c r="B255" s="189" t="s">
        <v>71</v>
      </c>
      <c r="C255" s="189"/>
      <c r="D255" s="68" t="s">
        <v>755</v>
      </c>
      <c r="E255" s="69">
        <v>9</v>
      </c>
      <c r="F255" s="70">
        <v>285</v>
      </c>
      <c r="G255" s="70">
        <f>E255*F255</f>
        <v>2565</v>
      </c>
      <c r="H255" s="81"/>
      <c r="I255" s="71"/>
    </row>
    <row r="256" spans="1:9">
      <c r="A256" s="65" t="s">
        <v>70</v>
      </c>
      <c r="B256" s="189" t="s">
        <v>72</v>
      </c>
      <c r="C256" s="189"/>
      <c r="D256" s="68" t="s">
        <v>755</v>
      </c>
      <c r="E256" s="69">
        <v>10</v>
      </c>
      <c r="F256" s="70">
        <v>285</v>
      </c>
      <c r="G256" s="70">
        <f>E256*F256</f>
        <v>2850</v>
      </c>
      <c r="H256" s="81"/>
      <c r="I256" s="71"/>
    </row>
    <row r="257" spans="1:9">
      <c r="A257" s="65" t="s">
        <v>74</v>
      </c>
      <c r="B257" s="189" t="s">
        <v>73</v>
      </c>
      <c r="C257" s="189"/>
      <c r="D257" s="68" t="s">
        <v>755</v>
      </c>
      <c r="E257" s="69">
        <v>7</v>
      </c>
      <c r="F257" s="70">
        <v>285</v>
      </c>
      <c r="G257" s="70">
        <f>E257*F257</f>
        <v>1995</v>
      </c>
      <c r="H257" s="81"/>
      <c r="I257" s="71"/>
    </row>
    <row r="258" spans="1:9">
      <c r="A258" s="65" t="s">
        <v>199</v>
      </c>
      <c r="B258" s="189" t="s">
        <v>198</v>
      </c>
      <c r="C258" s="189"/>
      <c r="D258" s="68" t="s">
        <v>757</v>
      </c>
      <c r="E258" s="69">
        <v>1</v>
      </c>
      <c r="F258" s="70">
        <v>2850</v>
      </c>
      <c r="G258" s="70">
        <f>E258*F258</f>
        <v>2850</v>
      </c>
      <c r="H258" s="81"/>
      <c r="I258" s="71"/>
    </row>
    <row r="259" spans="1:9">
      <c r="A259" s="65"/>
      <c r="B259" s="190" t="s">
        <v>525</v>
      </c>
      <c r="C259" s="188"/>
      <c r="D259" s="68"/>
      <c r="E259" s="69"/>
      <c r="F259" s="70"/>
      <c r="G259" s="74">
        <f>SUM(G255:G258)</f>
        <v>10260</v>
      </c>
      <c r="H259" s="81"/>
      <c r="I259" s="71"/>
    </row>
    <row r="260" spans="1:9">
      <c r="A260" s="65"/>
      <c r="B260" s="73"/>
      <c r="C260" s="64"/>
      <c r="D260" s="68"/>
      <c r="E260" s="69"/>
      <c r="F260" s="70"/>
      <c r="G260" s="74"/>
      <c r="H260" s="81"/>
      <c r="I260" s="71"/>
    </row>
    <row r="261" spans="1:9" ht="15">
      <c r="A261" s="65" t="s">
        <v>402</v>
      </c>
      <c r="B261" s="184" t="s">
        <v>97</v>
      </c>
      <c r="C261" s="184"/>
      <c r="D261" s="68" t="s">
        <v>761</v>
      </c>
      <c r="E261" s="69"/>
      <c r="F261" s="70"/>
      <c r="G261" s="70"/>
      <c r="H261" s="81"/>
      <c r="I261" s="71"/>
    </row>
    <row r="262" spans="1:9" ht="15">
      <c r="A262" s="65" t="s">
        <v>98</v>
      </c>
      <c r="B262" s="184" t="s">
        <v>99</v>
      </c>
      <c r="C262" s="184"/>
      <c r="D262" s="68" t="s">
        <v>777</v>
      </c>
      <c r="E262" s="69"/>
      <c r="F262" s="70"/>
      <c r="G262" s="70"/>
      <c r="H262" s="81"/>
      <c r="I262" s="71"/>
    </row>
    <row r="263" spans="1:9">
      <c r="A263" s="65" t="s">
        <v>556</v>
      </c>
      <c r="B263" s="189" t="s">
        <v>189</v>
      </c>
      <c r="C263" s="189"/>
      <c r="D263" s="68" t="s">
        <v>752</v>
      </c>
      <c r="E263" s="69">
        <v>1500</v>
      </c>
      <c r="F263" s="70">
        <v>4.78</v>
      </c>
      <c r="G263" s="70">
        <f>E263*F263</f>
        <v>7170</v>
      </c>
      <c r="H263" s="81"/>
      <c r="I263" s="71"/>
    </row>
    <row r="264" spans="1:9">
      <c r="A264" s="65"/>
      <c r="B264" s="190" t="s">
        <v>525</v>
      </c>
      <c r="C264" s="188"/>
      <c r="D264" s="68"/>
      <c r="E264" s="69"/>
      <c r="F264" s="70"/>
      <c r="G264" s="74">
        <f>SUM(G263)</f>
        <v>7170</v>
      </c>
      <c r="H264" s="81"/>
      <c r="I264" s="71"/>
    </row>
    <row r="265" spans="1:9" ht="15">
      <c r="A265" s="65" t="s">
        <v>344</v>
      </c>
      <c r="B265" s="185" t="s">
        <v>345</v>
      </c>
      <c r="C265" s="186"/>
      <c r="D265" s="68"/>
      <c r="E265" s="69"/>
      <c r="F265" s="70"/>
      <c r="G265" s="70"/>
      <c r="H265" s="81"/>
      <c r="I265" s="71"/>
    </row>
    <row r="266" spans="1:9" ht="15">
      <c r="A266" s="65" t="s">
        <v>346</v>
      </c>
      <c r="B266" s="185" t="s">
        <v>347</v>
      </c>
      <c r="C266" s="186"/>
      <c r="D266" s="68"/>
      <c r="E266" s="69"/>
      <c r="F266" s="70"/>
      <c r="G266" s="70"/>
      <c r="H266" s="81"/>
      <c r="I266" s="71"/>
    </row>
    <row r="267" spans="1:9">
      <c r="A267" s="65" t="s">
        <v>443</v>
      </c>
      <c r="B267" s="189" t="s">
        <v>190</v>
      </c>
      <c r="C267" s="189"/>
      <c r="D267" s="68" t="s">
        <v>752</v>
      </c>
      <c r="E267" s="69">
        <v>405</v>
      </c>
      <c r="F267" s="70">
        <v>17.68</v>
      </c>
      <c r="G267" s="70">
        <f>E267*F267</f>
        <v>7160.4</v>
      </c>
      <c r="H267" s="81"/>
      <c r="I267" s="71"/>
    </row>
    <row r="268" spans="1:9">
      <c r="A268" s="65"/>
      <c r="B268" s="190" t="s">
        <v>525</v>
      </c>
      <c r="C268" s="188"/>
      <c r="D268" s="68"/>
      <c r="E268" s="69"/>
      <c r="F268" s="70" t="s">
        <v>789</v>
      </c>
      <c r="G268" s="74">
        <f>SUM(G267)</f>
        <v>7160.4</v>
      </c>
      <c r="H268" s="81"/>
      <c r="I268" s="71"/>
    </row>
    <row r="269" spans="1:9" ht="15">
      <c r="A269" s="65" t="s">
        <v>348</v>
      </c>
      <c r="B269" s="185" t="s">
        <v>202</v>
      </c>
      <c r="C269" s="186"/>
      <c r="D269" s="68"/>
      <c r="E269" s="69"/>
      <c r="F269" s="70"/>
      <c r="G269" s="70"/>
      <c r="H269" s="81"/>
      <c r="I269" s="71"/>
    </row>
    <row r="270" spans="1:9">
      <c r="A270" s="65" t="s">
        <v>438</v>
      </c>
      <c r="B270" s="187" t="s">
        <v>191</v>
      </c>
      <c r="C270" s="188"/>
      <c r="D270" s="68" t="s">
        <v>752</v>
      </c>
      <c r="E270" s="69">
        <v>2100</v>
      </c>
      <c r="F270" s="70">
        <v>0.96</v>
      </c>
      <c r="G270" s="70">
        <f>E270*F270</f>
        <v>2016</v>
      </c>
      <c r="H270" s="81"/>
      <c r="I270" s="71"/>
    </row>
    <row r="271" spans="1:9">
      <c r="A271" s="65" t="s">
        <v>439</v>
      </c>
      <c r="B271" s="187" t="s">
        <v>192</v>
      </c>
      <c r="C271" s="188"/>
      <c r="D271" s="68" t="s">
        <v>753</v>
      </c>
      <c r="E271" s="69">
        <v>630</v>
      </c>
      <c r="F271" s="70">
        <v>34.24</v>
      </c>
      <c r="G271" s="70">
        <f>E271*F271</f>
        <v>21571.200000000001</v>
      </c>
      <c r="H271" s="81"/>
      <c r="I271" s="71"/>
    </row>
    <row r="272" spans="1:9">
      <c r="A272" s="65" t="s">
        <v>440</v>
      </c>
      <c r="B272" s="187" t="s">
        <v>193</v>
      </c>
      <c r="C272" s="188"/>
      <c r="D272" s="68" t="s">
        <v>752</v>
      </c>
      <c r="E272" s="69">
        <v>2100</v>
      </c>
      <c r="F272" s="70">
        <v>2.11</v>
      </c>
      <c r="G272" s="70">
        <f>E272*F272</f>
        <v>4431</v>
      </c>
      <c r="H272" s="81"/>
      <c r="I272" s="71"/>
    </row>
    <row r="273" spans="1:9">
      <c r="A273" s="65" t="s">
        <v>441</v>
      </c>
      <c r="B273" s="187" t="s">
        <v>442</v>
      </c>
      <c r="C273" s="188"/>
      <c r="D273" s="68" t="s">
        <v>752</v>
      </c>
      <c r="E273" s="69">
        <v>2100</v>
      </c>
      <c r="F273" s="70">
        <v>11.68</v>
      </c>
      <c r="G273" s="70">
        <f>E273*F273</f>
        <v>24528</v>
      </c>
      <c r="H273" s="81"/>
      <c r="I273" s="71"/>
    </row>
    <row r="274" spans="1:9">
      <c r="A274" s="65"/>
      <c r="B274" s="190" t="s">
        <v>525</v>
      </c>
      <c r="C274" s="188"/>
      <c r="D274" s="68"/>
      <c r="E274" s="69"/>
      <c r="F274" s="70"/>
      <c r="G274" s="74">
        <f>SUM(G270:G273)</f>
        <v>52546.2</v>
      </c>
      <c r="H274" s="100">
        <f>G275/H643</f>
        <v>0.3024</v>
      </c>
      <c r="I274" s="101"/>
    </row>
    <row r="275" spans="1:9" s="21" customFormat="1">
      <c r="A275" s="102"/>
      <c r="B275" s="191" t="s">
        <v>108</v>
      </c>
      <c r="C275" s="192"/>
      <c r="D275" s="82"/>
      <c r="E275" s="83"/>
      <c r="F275" s="84"/>
      <c r="G275" s="84">
        <f>SUM(G274+G268+G264+G259+G252+G248+G241+G237+G232+G226+G223+G220+G217+G214+G211+G206+G203+G198+G195+G192+G189+G183+G180+G176+G173+G169+G163+G159+G154+G147+G142+G136+G123+G119)</f>
        <v>952212.63</v>
      </c>
      <c r="H275" s="84">
        <f>G275*1</f>
        <v>952212.63</v>
      </c>
      <c r="I275" s="103"/>
    </row>
    <row r="276" spans="1:9" ht="15">
      <c r="A276" s="65" t="s">
        <v>100</v>
      </c>
      <c r="B276" s="184" t="s">
        <v>101</v>
      </c>
      <c r="C276" s="184"/>
      <c r="D276" s="68" t="s">
        <v>761</v>
      </c>
      <c r="E276" s="69"/>
      <c r="F276" s="70"/>
      <c r="G276" s="70"/>
      <c r="H276" s="81"/>
      <c r="I276" s="71"/>
    </row>
    <row r="277" spans="1:9" ht="15">
      <c r="A277" s="65" t="s">
        <v>102</v>
      </c>
      <c r="B277" s="184" t="s">
        <v>103</v>
      </c>
      <c r="C277" s="184"/>
      <c r="D277" s="68" t="s">
        <v>761</v>
      </c>
      <c r="E277" s="69"/>
      <c r="F277" s="70"/>
      <c r="G277" s="70"/>
      <c r="H277" s="81"/>
      <c r="I277" s="71"/>
    </row>
    <row r="278" spans="1:9" ht="15">
      <c r="A278" s="65" t="s">
        <v>104</v>
      </c>
      <c r="B278" s="184" t="s">
        <v>1078</v>
      </c>
      <c r="C278" s="184"/>
      <c r="D278" s="68" t="s">
        <v>761</v>
      </c>
      <c r="E278" s="69"/>
      <c r="F278" s="70"/>
      <c r="G278" s="70"/>
      <c r="H278" s="81"/>
      <c r="I278" s="71"/>
    </row>
    <row r="279" spans="1:9">
      <c r="A279" s="65" t="s">
        <v>557</v>
      </c>
      <c r="B279" s="67" t="s">
        <v>394</v>
      </c>
      <c r="C279" s="67"/>
      <c r="D279" s="68" t="s">
        <v>755</v>
      </c>
      <c r="E279" s="69">
        <v>97</v>
      </c>
      <c r="F279" s="69">
        <v>7.03</v>
      </c>
      <c r="G279" s="70">
        <f>E279*F279</f>
        <v>681.91</v>
      </c>
      <c r="H279" s="81"/>
      <c r="I279" s="71"/>
    </row>
    <row r="280" spans="1:9">
      <c r="A280" s="65" t="s">
        <v>558</v>
      </c>
      <c r="B280" s="67" t="s">
        <v>393</v>
      </c>
      <c r="C280" s="67"/>
      <c r="D280" s="68" t="s">
        <v>755</v>
      </c>
      <c r="E280" s="69">
        <v>155</v>
      </c>
      <c r="F280" s="69">
        <v>7.03</v>
      </c>
      <c r="G280" s="70">
        <f t="shared" ref="G280:G287" si="2">E280*F280</f>
        <v>1089.6500000000001</v>
      </c>
      <c r="H280" s="81"/>
      <c r="I280" s="71"/>
    </row>
    <row r="281" spans="1:9">
      <c r="A281" s="65" t="s">
        <v>559</v>
      </c>
      <c r="B281" s="67" t="s">
        <v>1068</v>
      </c>
      <c r="C281" s="67"/>
      <c r="D281" s="68" t="s">
        <v>755</v>
      </c>
      <c r="E281" s="69">
        <v>128</v>
      </c>
      <c r="F281" s="69">
        <v>10.92</v>
      </c>
      <c r="G281" s="70">
        <f t="shared" si="2"/>
        <v>1397.76</v>
      </c>
      <c r="H281" s="81"/>
      <c r="I281" s="71"/>
    </row>
    <row r="282" spans="1:9">
      <c r="A282" s="65" t="s">
        <v>560</v>
      </c>
      <c r="B282" s="67" t="s">
        <v>1069</v>
      </c>
      <c r="C282" s="67"/>
      <c r="D282" s="68" t="s">
        <v>755</v>
      </c>
      <c r="E282" s="69">
        <v>54</v>
      </c>
      <c r="F282" s="69">
        <v>13.74</v>
      </c>
      <c r="G282" s="70">
        <f t="shared" si="2"/>
        <v>741.96</v>
      </c>
      <c r="H282" s="81"/>
      <c r="I282" s="71"/>
    </row>
    <row r="283" spans="1:9">
      <c r="A283" s="65" t="s">
        <v>561</v>
      </c>
      <c r="B283" s="67" t="s">
        <v>1070</v>
      </c>
      <c r="C283" s="67"/>
      <c r="D283" s="68" t="s">
        <v>755</v>
      </c>
      <c r="E283" s="69">
        <v>158</v>
      </c>
      <c r="F283" s="69">
        <v>24.76</v>
      </c>
      <c r="G283" s="70">
        <f t="shared" si="2"/>
        <v>3912.08</v>
      </c>
      <c r="H283" s="81"/>
      <c r="I283" s="71"/>
    </row>
    <row r="284" spans="1:9">
      <c r="A284" s="65" t="s">
        <v>428</v>
      </c>
      <c r="B284" s="67" t="s">
        <v>1071</v>
      </c>
      <c r="C284" s="67"/>
      <c r="D284" s="68" t="s">
        <v>755</v>
      </c>
      <c r="E284" s="69">
        <v>147</v>
      </c>
      <c r="F284" s="69">
        <v>36.89</v>
      </c>
      <c r="G284" s="70">
        <f t="shared" si="2"/>
        <v>5422.83</v>
      </c>
      <c r="H284" s="81"/>
      <c r="I284" s="71"/>
    </row>
    <row r="285" spans="1:9">
      <c r="A285" s="65" t="s">
        <v>58</v>
      </c>
      <c r="B285" s="67" t="s">
        <v>1072</v>
      </c>
      <c r="C285" s="67"/>
      <c r="D285" s="68" t="s">
        <v>755</v>
      </c>
      <c r="E285" s="69">
        <v>77</v>
      </c>
      <c r="F285" s="69">
        <v>43.99</v>
      </c>
      <c r="G285" s="70">
        <f t="shared" si="2"/>
        <v>3387.23</v>
      </c>
      <c r="H285" s="81"/>
      <c r="I285" s="71"/>
    </row>
    <row r="286" spans="1:9">
      <c r="A286" s="65" t="s">
        <v>59</v>
      </c>
      <c r="B286" s="67" t="s">
        <v>1073</v>
      </c>
      <c r="C286" s="67"/>
      <c r="D286" s="68" t="s">
        <v>755</v>
      </c>
      <c r="E286" s="69">
        <v>6</v>
      </c>
      <c r="F286" s="69">
        <v>43.99</v>
      </c>
      <c r="G286" s="70">
        <f t="shared" si="2"/>
        <v>263.94</v>
      </c>
      <c r="H286" s="81"/>
      <c r="I286" s="71"/>
    </row>
    <row r="287" spans="1:9">
      <c r="A287" s="65" t="s">
        <v>60</v>
      </c>
      <c r="B287" s="67" t="s">
        <v>1074</v>
      </c>
      <c r="C287" s="67"/>
      <c r="D287" s="68" t="s">
        <v>755</v>
      </c>
      <c r="E287" s="69">
        <v>18</v>
      </c>
      <c r="F287" s="69">
        <v>43.99</v>
      </c>
      <c r="G287" s="70">
        <f t="shared" si="2"/>
        <v>791.82</v>
      </c>
      <c r="H287" s="81"/>
      <c r="I287" s="71"/>
    </row>
    <row r="288" spans="1:9">
      <c r="A288" s="65"/>
      <c r="B288" s="190" t="s">
        <v>525</v>
      </c>
      <c r="C288" s="188"/>
      <c r="D288" s="68"/>
      <c r="E288" s="69"/>
      <c r="F288" s="70"/>
      <c r="G288" s="74">
        <f>SUM(G279:G287)</f>
        <v>17689.18</v>
      </c>
      <c r="H288" s="81"/>
      <c r="I288" s="71"/>
    </row>
    <row r="289" spans="1:9" ht="15">
      <c r="A289" s="79" t="s">
        <v>1109</v>
      </c>
      <c r="B289" s="184" t="s">
        <v>1042</v>
      </c>
      <c r="C289" s="184"/>
      <c r="D289" s="68"/>
      <c r="E289" s="69"/>
      <c r="F289" s="69"/>
      <c r="G289" s="70"/>
      <c r="H289" s="81"/>
      <c r="I289" s="71"/>
    </row>
    <row r="290" spans="1:9">
      <c r="A290" s="79" t="s">
        <v>1048</v>
      </c>
      <c r="B290" s="189" t="s">
        <v>1067</v>
      </c>
      <c r="C290" s="189"/>
      <c r="D290" s="68" t="s">
        <v>756</v>
      </c>
      <c r="E290" s="69">
        <v>8</v>
      </c>
      <c r="F290" s="69">
        <v>49.85</v>
      </c>
      <c r="G290" s="70">
        <f t="shared" ref="G290:G297" si="3">E290*F290</f>
        <v>398.8</v>
      </c>
      <c r="H290" s="81"/>
      <c r="I290" s="71"/>
    </row>
    <row r="291" spans="1:9">
      <c r="A291" s="79" t="s">
        <v>1049</v>
      </c>
      <c r="B291" s="189" t="s">
        <v>1059</v>
      </c>
      <c r="C291" s="189"/>
      <c r="D291" s="68" t="s">
        <v>756</v>
      </c>
      <c r="E291" s="69">
        <v>31</v>
      </c>
      <c r="F291" s="69">
        <v>78.52</v>
      </c>
      <c r="G291" s="70">
        <f t="shared" si="3"/>
        <v>2434.12</v>
      </c>
      <c r="H291" s="81"/>
      <c r="I291" s="71"/>
    </row>
    <row r="292" spans="1:9">
      <c r="A292" s="79" t="s">
        <v>1050</v>
      </c>
      <c r="B292" s="189" t="s">
        <v>1066</v>
      </c>
      <c r="C292" s="189"/>
      <c r="D292" s="68" t="s">
        <v>756</v>
      </c>
      <c r="E292" s="69">
        <v>3</v>
      </c>
      <c r="F292" s="69">
        <v>106.07</v>
      </c>
      <c r="G292" s="70">
        <f t="shared" si="3"/>
        <v>318.20999999999998</v>
      </c>
      <c r="H292" s="81"/>
      <c r="I292" s="71"/>
    </row>
    <row r="293" spans="1:9">
      <c r="A293" s="79" t="s">
        <v>1051</v>
      </c>
      <c r="B293" s="189" t="s">
        <v>1060</v>
      </c>
      <c r="C293" s="189"/>
      <c r="D293" s="68" t="s">
        <v>756</v>
      </c>
      <c r="E293" s="69">
        <v>1</v>
      </c>
      <c r="F293" s="69">
        <v>23.63</v>
      </c>
      <c r="G293" s="70">
        <f t="shared" si="3"/>
        <v>23.63</v>
      </c>
      <c r="H293" s="81"/>
      <c r="I293" s="71"/>
    </row>
    <row r="294" spans="1:9">
      <c r="A294" s="79" t="s">
        <v>1052</v>
      </c>
      <c r="B294" s="189" t="s">
        <v>1061</v>
      </c>
      <c r="C294" s="189"/>
      <c r="D294" s="68" t="s">
        <v>756</v>
      </c>
      <c r="E294" s="69">
        <v>2</v>
      </c>
      <c r="F294" s="69">
        <v>75.87</v>
      </c>
      <c r="G294" s="70">
        <f t="shared" si="3"/>
        <v>151.74</v>
      </c>
      <c r="H294" s="81"/>
      <c r="I294" s="71"/>
    </row>
    <row r="295" spans="1:9">
      <c r="A295" s="79" t="s">
        <v>1053</v>
      </c>
      <c r="B295" s="189" t="s">
        <v>1062</v>
      </c>
      <c r="C295" s="189"/>
      <c r="D295" s="68" t="s">
        <v>756</v>
      </c>
      <c r="E295" s="69">
        <v>3</v>
      </c>
      <c r="F295" s="69">
        <v>164.95</v>
      </c>
      <c r="G295" s="70">
        <f t="shared" si="3"/>
        <v>494.85</v>
      </c>
      <c r="H295" s="81"/>
      <c r="I295" s="71"/>
    </row>
    <row r="296" spans="1:9">
      <c r="A296" s="79" t="s">
        <v>1054</v>
      </c>
      <c r="B296" s="189" t="s">
        <v>1063</v>
      </c>
      <c r="C296" s="189"/>
      <c r="D296" s="68" t="s">
        <v>756</v>
      </c>
      <c r="E296" s="69">
        <v>1</v>
      </c>
      <c r="F296" s="69">
        <v>218.72</v>
      </c>
      <c r="G296" s="70">
        <f t="shared" si="3"/>
        <v>218.72</v>
      </c>
      <c r="H296" s="81"/>
      <c r="I296" s="71"/>
    </row>
    <row r="297" spans="1:9">
      <c r="A297" s="79" t="s">
        <v>1055</v>
      </c>
      <c r="B297" s="189" t="s">
        <v>1075</v>
      </c>
      <c r="C297" s="189"/>
      <c r="D297" s="68" t="s">
        <v>756</v>
      </c>
      <c r="E297" s="69">
        <v>1</v>
      </c>
      <c r="F297" s="69">
        <v>368.14</v>
      </c>
      <c r="G297" s="70">
        <f t="shared" si="3"/>
        <v>368.14</v>
      </c>
      <c r="H297" s="81"/>
      <c r="I297" s="71"/>
    </row>
    <row r="298" spans="1:9">
      <c r="A298" s="65"/>
      <c r="B298" s="190" t="s">
        <v>525</v>
      </c>
      <c r="C298" s="188"/>
      <c r="D298" s="68"/>
      <c r="E298" s="69"/>
      <c r="F298" s="70"/>
      <c r="G298" s="74">
        <f>SUM(G290:G297)</f>
        <v>4408.21</v>
      </c>
      <c r="H298" s="81"/>
      <c r="I298" s="71"/>
    </row>
    <row r="299" spans="1:9" ht="15">
      <c r="A299" s="79" t="s">
        <v>1108</v>
      </c>
      <c r="B299" s="184" t="s">
        <v>1041</v>
      </c>
      <c r="C299" s="184"/>
      <c r="D299" s="68"/>
      <c r="E299" s="69"/>
      <c r="F299" s="70"/>
      <c r="G299" s="70"/>
      <c r="H299" s="81"/>
      <c r="I299" s="71"/>
    </row>
    <row r="300" spans="1:9">
      <c r="A300" s="79" t="s">
        <v>1045</v>
      </c>
      <c r="B300" s="189" t="s">
        <v>1064</v>
      </c>
      <c r="C300" s="189"/>
      <c r="D300" s="68" t="s">
        <v>177</v>
      </c>
      <c r="E300" s="69">
        <v>5</v>
      </c>
      <c r="F300" s="70">
        <v>64.040000000000006</v>
      </c>
      <c r="G300" s="70">
        <f>E300*F300</f>
        <v>320.2</v>
      </c>
      <c r="H300" s="81"/>
      <c r="I300" s="71"/>
    </row>
    <row r="301" spans="1:9">
      <c r="A301" s="79" t="s">
        <v>1046</v>
      </c>
      <c r="B301" s="189" t="s">
        <v>1076</v>
      </c>
      <c r="C301" s="189"/>
      <c r="D301" s="68" t="s">
        <v>177</v>
      </c>
      <c r="E301" s="69">
        <v>32</v>
      </c>
      <c r="F301" s="70">
        <v>64.040000000000006</v>
      </c>
      <c r="G301" s="70">
        <f>E301*F301</f>
        <v>2049.2800000000002</v>
      </c>
      <c r="H301" s="81"/>
      <c r="I301" s="71"/>
    </row>
    <row r="302" spans="1:9">
      <c r="A302" s="79" t="s">
        <v>1047</v>
      </c>
      <c r="B302" s="189" t="s">
        <v>1065</v>
      </c>
      <c r="C302" s="189"/>
      <c r="D302" s="68" t="s">
        <v>177</v>
      </c>
      <c r="E302" s="69">
        <v>43</v>
      </c>
      <c r="F302" s="70">
        <v>43</v>
      </c>
      <c r="G302" s="70">
        <f>E302*F302</f>
        <v>1849</v>
      </c>
      <c r="H302" s="81"/>
      <c r="I302" s="71"/>
    </row>
    <row r="303" spans="1:9">
      <c r="A303" s="65"/>
      <c r="B303" s="190" t="s">
        <v>525</v>
      </c>
      <c r="C303" s="188"/>
      <c r="D303" s="68"/>
      <c r="E303" s="69"/>
      <c r="F303" s="70"/>
      <c r="G303" s="74">
        <f>SUM(G300:G302)</f>
        <v>4218.4799999999996</v>
      </c>
      <c r="H303" s="81"/>
      <c r="I303" s="71"/>
    </row>
    <row r="304" spans="1:9" ht="15">
      <c r="A304" s="79" t="s">
        <v>1044</v>
      </c>
      <c r="B304" s="184" t="s">
        <v>982</v>
      </c>
      <c r="C304" s="184"/>
      <c r="D304" s="68"/>
      <c r="E304" s="69"/>
      <c r="F304" s="70"/>
      <c r="G304" s="70"/>
      <c r="H304" s="81"/>
      <c r="I304" s="71"/>
    </row>
    <row r="305" spans="1:9">
      <c r="A305" s="79" t="s">
        <v>1056</v>
      </c>
      <c r="B305" s="189" t="s">
        <v>1077</v>
      </c>
      <c r="C305" s="189"/>
      <c r="D305" s="68" t="s">
        <v>756</v>
      </c>
      <c r="E305" s="69">
        <v>1</v>
      </c>
      <c r="F305" s="70">
        <v>43.48</v>
      </c>
      <c r="G305" s="70">
        <f>E305*F305</f>
        <v>43.48</v>
      </c>
      <c r="H305" s="81"/>
      <c r="I305" s="71"/>
    </row>
    <row r="306" spans="1:9">
      <c r="A306" s="79" t="s">
        <v>1057</v>
      </c>
      <c r="B306" s="189" t="s">
        <v>1043</v>
      </c>
      <c r="C306" s="189"/>
      <c r="D306" s="68" t="s">
        <v>757</v>
      </c>
      <c r="E306" s="69">
        <v>1</v>
      </c>
      <c r="F306" s="70">
        <v>1822</v>
      </c>
      <c r="G306" s="70">
        <f>E306*F306</f>
        <v>1822</v>
      </c>
      <c r="H306" s="81"/>
      <c r="I306" s="71"/>
    </row>
    <row r="307" spans="1:9">
      <c r="A307" s="65"/>
      <c r="B307" s="190" t="s">
        <v>525</v>
      </c>
      <c r="C307" s="188"/>
      <c r="D307" s="68"/>
      <c r="E307" s="69"/>
      <c r="F307" s="70"/>
      <c r="G307" s="74">
        <f>SUM(G305:G306)</f>
        <v>1865.48</v>
      </c>
      <c r="H307" s="81"/>
      <c r="I307" s="71"/>
    </row>
    <row r="308" spans="1:9" ht="15">
      <c r="A308" s="65" t="s">
        <v>105</v>
      </c>
      <c r="B308" s="184" t="s">
        <v>543</v>
      </c>
      <c r="C308" s="184"/>
      <c r="D308" s="68" t="s">
        <v>761</v>
      </c>
      <c r="E308" s="69"/>
      <c r="F308" s="70"/>
      <c r="G308" s="70"/>
      <c r="H308" s="81"/>
      <c r="I308" s="71"/>
    </row>
    <row r="309" spans="1:9">
      <c r="A309" s="65" t="s">
        <v>562</v>
      </c>
      <c r="B309" s="189" t="s">
        <v>66</v>
      </c>
      <c r="C309" s="189"/>
      <c r="D309" s="68" t="s">
        <v>756</v>
      </c>
      <c r="E309" s="69">
        <v>44</v>
      </c>
      <c r="F309" s="70">
        <v>81.96</v>
      </c>
      <c r="G309" s="70">
        <f t="shared" ref="G309:G322" si="4">E309*F309</f>
        <v>3606.24</v>
      </c>
      <c r="H309" s="81"/>
      <c r="I309" s="71"/>
    </row>
    <row r="310" spans="1:9">
      <c r="A310" s="65" t="s">
        <v>564</v>
      </c>
      <c r="B310" s="189" t="s">
        <v>151</v>
      </c>
      <c r="C310" s="189"/>
      <c r="D310" s="68" t="s">
        <v>756</v>
      </c>
      <c r="E310" s="69">
        <v>44</v>
      </c>
      <c r="F310" s="70">
        <v>85</v>
      </c>
      <c r="G310" s="70">
        <f t="shared" si="4"/>
        <v>3740</v>
      </c>
      <c r="H310" s="81"/>
      <c r="I310" s="71"/>
    </row>
    <row r="311" spans="1:9">
      <c r="A311" s="65" t="s">
        <v>565</v>
      </c>
      <c r="B311" s="189" t="s">
        <v>65</v>
      </c>
      <c r="C311" s="189"/>
      <c r="D311" s="68" t="s">
        <v>756</v>
      </c>
      <c r="E311" s="69">
        <v>32</v>
      </c>
      <c r="F311" s="70">
        <v>138.63999999999999</v>
      </c>
      <c r="G311" s="70">
        <f t="shared" si="4"/>
        <v>4436.4799999999996</v>
      </c>
      <c r="H311" s="81"/>
      <c r="I311" s="71"/>
    </row>
    <row r="312" spans="1:9">
      <c r="A312" s="65" t="s">
        <v>566</v>
      </c>
      <c r="B312" s="189" t="s">
        <v>61</v>
      </c>
      <c r="C312" s="189"/>
      <c r="D312" s="68" t="s">
        <v>756</v>
      </c>
      <c r="E312" s="69">
        <v>14</v>
      </c>
      <c r="F312" s="70">
        <v>139.33000000000001</v>
      </c>
      <c r="G312" s="70">
        <f t="shared" si="4"/>
        <v>1950.62</v>
      </c>
      <c r="H312" s="81"/>
      <c r="I312" s="71"/>
    </row>
    <row r="313" spans="1:9">
      <c r="A313" s="65" t="s">
        <v>567</v>
      </c>
      <c r="B313" s="189" t="s">
        <v>62</v>
      </c>
      <c r="C313" s="189"/>
      <c r="D313" s="68" t="s">
        <v>756</v>
      </c>
      <c r="E313" s="69">
        <v>7</v>
      </c>
      <c r="F313" s="70">
        <v>156.63</v>
      </c>
      <c r="G313" s="70">
        <f t="shared" si="4"/>
        <v>1096.4100000000001</v>
      </c>
      <c r="H313" s="81"/>
      <c r="I313" s="71"/>
    </row>
    <row r="314" spans="1:9">
      <c r="A314" s="65" t="s">
        <v>568</v>
      </c>
      <c r="B314" s="189" t="s">
        <v>1028</v>
      </c>
      <c r="C314" s="189"/>
      <c r="D314" s="68" t="s">
        <v>756</v>
      </c>
      <c r="E314" s="69">
        <v>44</v>
      </c>
      <c r="F314" s="70">
        <v>58.1</v>
      </c>
      <c r="G314" s="70">
        <f t="shared" si="4"/>
        <v>2556.4</v>
      </c>
      <c r="H314" s="81"/>
      <c r="I314" s="71"/>
    </row>
    <row r="315" spans="1:9">
      <c r="A315" s="65" t="s">
        <v>569</v>
      </c>
      <c r="B315" s="189" t="s">
        <v>63</v>
      </c>
      <c r="C315" s="189"/>
      <c r="D315" s="68" t="s">
        <v>756</v>
      </c>
      <c r="E315" s="69">
        <v>26</v>
      </c>
      <c r="F315" s="70">
        <v>22.35</v>
      </c>
      <c r="G315" s="70">
        <f t="shared" si="4"/>
        <v>581.1</v>
      </c>
      <c r="H315" s="81"/>
      <c r="I315" s="71"/>
    </row>
    <row r="316" spans="1:9">
      <c r="A316" s="65" t="s">
        <v>570</v>
      </c>
      <c r="B316" s="189" t="s">
        <v>64</v>
      </c>
      <c r="C316" s="189"/>
      <c r="D316" s="68" t="s">
        <v>756</v>
      </c>
      <c r="E316" s="69">
        <v>5</v>
      </c>
      <c r="F316" s="70">
        <v>65.349999999999994</v>
      </c>
      <c r="G316" s="70">
        <f t="shared" si="4"/>
        <v>326.75</v>
      </c>
      <c r="H316" s="81"/>
      <c r="I316" s="71"/>
    </row>
    <row r="317" spans="1:9">
      <c r="A317" s="65" t="s">
        <v>571</v>
      </c>
      <c r="B317" s="189" t="s">
        <v>1029</v>
      </c>
      <c r="C317" s="189"/>
      <c r="D317" s="68" t="s">
        <v>756</v>
      </c>
      <c r="E317" s="69">
        <v>5</v>
      </c>
      <c r="F317" s="70">
        <v>58.29</v>
      </c>
      <c r="G317" s="70">
        <f t="shared" si="4"/>
        <v>291.45</v>
      </c>
      <c r="H317" s="81"/>
      <c r="I317" s="71"/>
    </row>
    <row r="318" spans="1:9">
      <c r="A318" s="65" t="s">
        <v>572</v>
      </c>
      <c r="B318" s="189" t="s">
        <v>1030</v>
      </c>
      <c r="C318" s="189"/>
      <c r="D318" s="68" t="s">
        <v>756</v>
      </c>
      <c r="E318" s="69">
        <v>5</v>
      </c>
      <c r="F318" s="70">
        <v>22.5</v>
      </c>
      <c r="G318" s="70">
        <f t="shared" si="4"/>
        <v>112.5</v>
      </c>
      <c r="H318" s="81"/>
      <c r="I318" s="71"/>
    </row>
    <row r="319" spans="1:9">
      <c r="A319" s="65" t="s">
        <v>573</v>
      </c>
      <c r="B319" s="189" t="s">
        <v>1031</v>
      </c>
      <c r="C319" s="189"/>
      <c r="D319" s="68" t="s">
        <v>756</v>
      </c>
      <c r="E319" s="69">
        <v>5</v>
      </c>
      <c r="F319" s="70">
        <v>70.83</v>
      </c>
      <c r="G319" s="70">
        <f t="shared" si="4"/>
        <v>354.15</v>
      </c>
      <c r="H319" s="81"/>
      <c r="I319" s="71"/>
    </row>
    <row r="320" spans="1:9">
      <c r="A320" s="65" t="s">
        <v>574</v>
      </c>
      <c r="B320" s="189" t="s">
        <v>1032</v>
      </c>
      <c r="C320" s="189"/>
      <c r="D320" s="68" t="s">
        <v>756</v>
      </c>
      <c r="E320" s="69">
        <v>46</v>
      </c>
      <c r="F320" s="70">
        <v>44.94</v>
      </c>
      <c r="G320" s="70">
        <f t="shared" si="4"/>
        <v>2067.2399999999998</v>
      </c>
      <c r="H320" s="81"/>
      <c r="I320" s="71"/>
    </row>
    <row r="321" spans="1:9">
      <c r="A321" s="65" t="s">
        <v>575</v>
      </c>
      <c r="B321" s="189" t="s">
        <v>1033</v>
      </c>
      <c r="C321" s="189"/>
      <c r="D321" s="68" t="s">
        <v>756</v>
      </c>
      <c r="E321" s="69">
        <v>12</v>
      </c>
      <c r="F321" s="70">
        <v>155</v>
      </c>
      <c r="G321" s="70">
        <f t="shared" si="4"/>
        <v>1860</v>
      </c>
      <c r="H321" s="81"/>
      <c r="I321" s="71"/>
    </row>
    <row r="322" spans="1:9">
      <c r="A322" s="65" t="s">
        <v>1058</v>
      </c>
      <c r="B322" s="189" t="s">
        <v>913</v>
      </c>
      <c r="C322" s="189"/>
      <c r="D322" s="68" t="s">
        <v>756</v>
      </c>
      <c r="E322" s="69">
        <v>44</v>
      </c>
      <c r="F322" s="70">
        <v>105.42</v>
      </c>
      <c r="G322" s="70">
        <f t="shared" si="4"/>
        <v>4638.4799999999996</v>
      </c>
      <c r="H322" s="81"/>
      <c r="I322" s="71"/>
    </row>
    <row r="323" spans="1:9">
      <c r="A323" s="65"/>
      <c r="B323" s="190" t="s">
        <v>525</v>
      </c>
      <c r="C323" s="188"/>
      <c r="D323" s="68"/>
      <c r="E323" s="69"/>
      <c r="F323" s="70"/>
      <c r="G323" s="74">
        <f>SUM(G309:G322)</f>
        <v>27617.82</v>
      </c>
      <c r="H323" s="81"/>
      <c r="I323" s="71"/>
    </row>
    <row r="324" spans="1:9" ht="15">
      <c r="A324" s="65" t="s">
        <v>170</v>
      </c>
      <c r="B324" s="184" t="s">
        <v>171</v>
      </c>
      <c r="C324" s="184"/>
      <c r="D324" s="68" t="s">
        <v>761</v>
      </c>
      <c r="E324" s="69"/>
      <c r="F324" s="70"/>
      <c r="G324" s="70"/>
      <c r="H324" s="81"/>
      <c r="I324" s="71"/>
    </row>
    <row r="325" spans="1:9" ht="15">
      <c r="A325" s="65" t="s">
        <v>1035</v>
      </c>
      <c r="B325" s="184" t="s">
        <v>1079</v>
      </c>
      <c r="C325" s="184"/>
      <c r="D325" s="68" t="s">
        <v>761</v>
      </c>
      <c r="E325" s="69"/>
      <c r="F325" s="70"/>
      <c r="G325" s="70"/>
      <c r="H325" s="81"/>
      <c r="I325" s="71"/>
    </row>
    <row r="326" spans="1:9">
      <c r="A326" s="65" t="s">
        <v>563</v>
      </c>
      <c r="B326" s="189" t="s">
        <v>981</v>
      </c>
      <c r="C326" s="189"/>
      <c r="D326" s="68" t="s">
        <v>755</v>
      </c>
      <c r="E326" s="69">
        <v>250</v>
      </c>
      <c r="F326" s="69">
        <v>9.69</v>
      </c>
      <c r="G326" s="70">
        <f t="shared" ref="G326:G333" si="5">E326*F326</f>
        <v>2422.5</v>
      </c>
      <c r="H326" s="81"/>
      <c r="I326" s="71"/>
    </row>
    <row r="327" spans="1:9">
      <c r="A327" s="65" t="s">
        <v>576</v>
      </c>
      <c r="B327" s="189" t="s">
        <v>980</v>
      </c>
      <c r="C327" s="189"/>
      <c r="D327" s="68" t="s">
        <v>755</v>
      </c>
      <c r="E327" s="69">
        <v>220</v>
      </c>
      <c r="F327" s="69">
        <v>13.65</v>
      </c>
      <c r="G327" s="70">
        <f t="shared" si="5"/>
        <v>3003</v>
      </c>
      <c r="H327" s="81"/>
      <c r="I327" s="71"/>
    </row>
    <row r="328" spans="1:9">
      <c r="A328" s="65" t="s">
        <v>577</v>
      </c>
      <c r="B328" s="189" t="s">
        <v>1080</v>
      </c>
      <c r="C328" s="189"/>
      <c r="D328" s="68" t="s">
        <v>755</v>
      </c>
      <c r="E328" s="69">
        <v>18</v>
      </c>
      <c r="F328" s="69">
        <v>18.43</v>
      </c>
      <c r="G328" s="70">
        <f t="shared" si="5"/>
        <v>331.74</v>
      </c>
      <c r="H328" s="81"/>
      <c r="I328" s="71"/>
    </row>
    <row r="329" spans="1:9">
      <c r="A329" s="65" t="s">
        <v>578</v>
      </c>
      <c r="B329" s="189" t="s">
        <v>1081</v>
      </c>
      <c r="C329" s="189"/>
      <c r="D329" s="68" t="s">
        <v>755</v>
      </c>
      <c r="E329" s="69">
        <v>282</v>
      </c>
      <c r="F329" s="69">
        <v>19.920000000000002</v>
      </c>
      <c r="G329" s="70">
        <f t="shared" si="5"/>
        <v>5617.44</v>
      </c>
      <c r="H329" s="81"/>
      <c r="I329" s="71"/>
    </row>
    <row r="330" spans="1:9">
      <c r="A330" s="65" t="s">
        <v>579</v>
      </c>
      <c r="B330" s="189" t="s">
        <v>1082</v>
      </c>
      <c r="C330" s="189"/>
      <c r="D330" s="68" t="s">
        <v>755</v>
      </c>
      <c r="E330" s="69">
        <v>180</v>
      </c>
      <c r="F330" s="69">
        <v>42.26</v>
      </c>
      <c r="G330" s="70">
        <f t="shared" si="5"/>
        <v>7606.8</v>
      </c>
      <c r="H330" s="81"/>
      <c r="I330" s="71"/>
    </row>
    <row r="331" spans="1:9">
      <c r="A331" s="65" t="s">
        <v>580</v>
      </c>
      <c r="B331" s="189" t="s">
        <v>517</v>
      </c>
      <c r="C331" s="189"/>
      <c r="D331" s="68" t="s">
        <v>177</v>
      </c>
      <c r="E331" s="69">
        <v>39</v>
      </c>
      <c r="F331" s="70">
        <v>18.739999999999998</v>
      </c>
      <c r="G331" s="70">
        <f t="shared" si="5"/>
        <v>730.86</v>
      </c>
      <c r="H331" s="81"/>
      <c r="I331" s="71"/>
    </row>
    <row r="332" spans="1:9">
      <c r="A332" s="65" t="s">
        <v>581</v>
      </c>
      <c r="B332" s="189" t="s">
        <v>930</v>
      </c>
      <c r="C332" s="189"/>
      <c r="D332" s="68" t="s">
        <v>177</v>
      </c>
      <c r="E332" s="69">
        <v>31</v>
      </c>
      <c r="F332" s="70">
        <v>21.44</v>
      </c>
      <c r="G332" s="70">
        <f t="shared" si="5"/>
        <v>664.64</v>
      </c>
      <c r="H332" s="81"/>
      <c r="I332" s="71"/>
    </row>
    <row r="333" spans="1:9">
      <c r="A333" s="65" t="s">
        <v>582</v>
      </c>
      <c r="B333" s="189" t="s">
        <v>931</v>
      </c>
      <c r="C333" s="189"/>
      <c r="D333" s="68" t="s">
        <v>177</v>
      </c>
      <c r="E333" s="69">
        <v>4</v>
      </c>
      <c r="F333" s="70">
        <v>33.03</v>
      </c>
      <c r="G333" s="70">
        <f t="shared" si="5"/>
        <v>132.12</v>
      </c>
      <c r="H333" s="81"/>
      <c r="I333" s="71"/>
    </row>
    <row r="334" spans="1:9">
      <c r="A334" s="65"/>
      <c r="B334" s="190" t="s">
        <v>525</v>
      </c>
      <c r="C334" s="188"/>
      <c r="D334" s="68"/>
      <c r="E334" s="69"/>
      <c r="F334" s="70"/>
      <c r="G334" s="74">
        <f>SUM(G326:G333)</f>
        <v>20509.099999999999</v>
      </c>
      <c r="H334" s="81"/>
      <c r="I334" s="71"/>
    </row>
    <row r="335" spans="1:9">
      <c r="A335" s="79" t="s">
        <v>975</v>
      </c>
      <c r="B335" s="80" t="s">
        <v>976</v>
      </c>
      <c r="C335" s="63"/>
      <c r="D335" s="68"/>
      <c r="E335" s="69"/>
      <c r="F335" s="70"/>
      <c r="G335" s="70"/>
      <c r="H335" s="81"/>
      <c r="I335" s="71"/>
    </row>
    <row r="336" spans="1:9" ht="15">
      <c r="A336" s="79" t="s">
        <v>977</v>
      </c>
      <c r="B336" s="75" t="s">
        <v>808</v>
      </c>
      <c r="C336" s="63"/>
      <c r="D336" s="68"/>
      <c r="E336" s="69"/>
      <c r="F336" s="70"/>
      <c r="G336" s="70"/>
      <c r="H336" s="81"/>
      <c r="I336" s="71"/>
    </row>
    <row r="337" spans="1:9">
      <c r="A337" s="79" t="s">
        <v>246</v>
      </c>
      <c r="B337" s="189" t="s">
        <v>932</v>
      </c>
      <c r="C337" s="189"/>
      <c r="D337" s="68" t="s">
        <v>755</v>
      </c>
      <c r="E337" s="69">
        <v>24</v>
      </c>
      <c r="F337" s="69">
        <v>58.6</v>
      </c>
      <c r="G337" s="70">
        <f t="shared" ref="G337:G360" si="6">E337*F337</f>
        <v>1406.4</v>
      </c>
      <c r="H337" s="81"/>
      <c r="I337" s="71"/>
    </row>
    <row r="338" spans="1:9">
      <c r="A338" s="79" t="s">
        <v>247</v>
      </c>
      <c r="B338" s="189" t="s">
        <v>925</v>
      </c>
      <c r="C338" s="189"/>
      <c r="D338" s="68" t="s">
        <v>177</v>
      </c>
      <c r="E338" s="69">
        <v>54</v>
      </c>
      <c r="F338" s="70">
        <v>37.799999999999997</v>
      </c>
      <c r="G338" s="70">
        <f t="shared" si="6"/>
        <v>2041.2</v>
      </c>
      <c r="H338" s="81"/>
      <c r="I338" s="71"/>
    </row>
    <row r="339" spans="1:9">
      <c r="A339" s="79" t="s">
        <v>248</v>
      </c>
      <c r="B339" s="189" t="s">
        <v>926</v>
      </c>
      <c r="C339" s="189"/>
      <c r="D339" s="68" t="s">
        <v>177</v>
      </c>
      <c r="E339" s="69">
        <v>23</v>
      </c>
      <c r="F339" s="70">
        <v>56.7</v>
      </c>
      <c r="G339" s="70">
        <f t="shared" si="6"/>
        <v>1304.0999999999999</v>
      </c>
      <c r="H339" s="81"/>
      <c r="I339" s="71"/>
    </row>
    <row r="340" spans="1:9">
      <c r="A340" s="79" t="s">
        <v>249</v>
      </c>
      <c r="B340" s="189" t="s">
        <v>927</v>
      </c>
      <c r="C340" s="189"/>
      <c r="D340" s="68" t="s">
        <v>177</v>
      </c>
      <c r="E340" s="69">
        <v>5</v>
      </c>
      <c r="F340" s="70">
        <v>84.7</v>
      </c>
      <c r="G340" s="70">
        <f t="shared" si="6"/>
        <v>423.5</v>
      </c>
      <c r="H340" s="81"/>
      <c r="I340" s="71"/>
    </row>
    <row r="341" spans="1:9">
      <c r="A341" s="79" t="s">
        <v>250</v>
      </c>
      <c r="B341" s="189" t="s">
        <v>928</v>
      </c>
      <c r="C341" s="189"/>
      <c r="D341" s="68" t="s">
        <v>177</v>
      </c>
      <c r="E341" s="69">
        <v>29</v>
      </c>
      <c r="F341" s="70">
        <v>41.58</v>
      </c>
      <c r="G341" s="70">
        <f t="shared" si="6"/>
        <v>1205.82</v>
      </c>
      <c r="H341" s="81"/>
      <c r="I341" s="71"/>
    </row>
    <row r="342" spans="1:9">
      <c r="A342" s="79" t="s">
        <v>251</v>
      </c>
      <c r="B342" s="189" t="s">
        <v>929</v>
      </c>
      <c r="C342" s="189"/>
      <c r="D342" s="68" t="s">
        <v>177</v>
      </c>
      <c r="E342" s="69">
        <v>8</v>
      </c>
      <c r="F342" s="70">
        <v>62.37</v>
      </c>
      <c r="G342" s="70">
        <f t="shared" si="6"/>
        <v>498.96</v>
      </c>
      <c r="H342" s="81"/>
      <c r="I342" s="71"/>
    </row>
    <row r="343" spans="1:9">
      <c r="A343" s="79" t="s">
        <v>252</v>
      </c>
      <c r="B343" s="189" t="s">
        <v>18</v>
      </c>
      <c r="C343" s="189"/>
      <c r="D343" s="68" t="s">
        <v>177</v>
      </c>
      <c r="E343" s="69">
        <v>1</v>
      </c>
      <c r="F343" s="70">
        <v>93.17</v>
      </c>
      <c r="G343" s="70">
        <f t="shared" si="6"/>
        <v>93.17</v>
      </c>
      <c r="H343" s="81"/>
      <c r="I343" s="71"/>
    </row>
    <row r="344" spans="1:9">
      <c r="A344" s="79" t="s">
        <v>253</v>
      </c>
      <c r="B344" s="189" t="s">
        <v>19</v>
      </c>
      <c r="C344" s="189"/>
      <c r="D344" s="68" t="s">
        <v>177</v>
      </c>
      <c r="E344" s="69">
        <v>29</v>
      </c>
      <c r="F344" s="70">
        <v>55.7</v>
      </c>
      <c r="G344" s="70">
        <f t="shared" si="6"/>
        <v>1615.3</v>
      </c>
      <c r="H344" s="81"/>
      <c r="I344" s="71"/>
    </row>
    <row r="345" spans="1:9">
      <c r="A345" s="79" t="s">
        <v>254</v>
      </c>
      <c r="B345" s="189" t="s">
        <v>933</v>
      </c>
      <c r="C345" s="189"/>
      <c r="D345" s="68" t="s">
        <v>177</v>
      </c>
      <c r="E345" s="69">
        <v>8</v>
      </c>
      <c r="F345" s="70">
        <v>169.09</v>
      </c>
      <c r="G345" s="70">
        <f t="shared" si="6"/>
        <v>1352.72</v>
      </c>
      <c r="H345" s="81"/>
      <c r="I345" s="71"/>
    </row>
    <row r="346" spans="1:9">
      <c r="A346" s="79" t="s">
        <v>255</v>
      </c>
      <c r="B346" s="189" t="s">
        <v>20</v>
      </c>
      <c r="C346" s="189"/>
      <c r="D346" s="68" t="s">
        <v>1139</v>
      </c>
      <c r="E346" s="69">
        <v>29</v>
      </c>
      <c r="F346" s="70">
        <v>11.2</v>
      </c>
      <c r="G346" s="70">
        <f t="shared" si="6"/>
        <v>324.8</v>
      </c>
      <c r="H346" s="81"/>
      <c r="I346" s="71"/>
    </row>
    <row r="347" spans="1:9">
      <c r="A347" s="79" t="s">
        <v>256</v>
      </c>
      <c r="B347" s="189" t="s">
        <v>21</v>
      </c>
      <c r="C347" s="189"/>
      <c r="D347" s="68" t="s">
        <v>1139</v>
      </c>
      <c r="E347" s="69">
        <v>8</v>
      </c>
      <c r="F347" s="70">
        <v>12.9</v>
      </c>
      <c r="G347" s="70">
        <f t="shared" si="6"/>
        <v>103.2</v>
      </c>
      <c r="H347" s="81"/>
      <c r="I347" s="71"/>
    </row>
    <row r="348" spans="1:9">
      <c r="A348" s="79" t="s">
        <v>257</v>
      </c>
      <c r="B348" s="189" t="s">
        <v>726</v>
      </c>
      <c r="C348" s="189"/>
      <c r="D348" s="68" t="s">
        <v>1139</v>
      </c>
      <c r="E348" s="69">
        <v>1</v>
      </c>
      <c r="F348" s="70">
        <v>14.3</v>
      </c>
      <c r="G348" s="70">
        <f t="shared" si="6"/>
        <v>14.3</v>
      </c>
      <c r="H348" s="81"/>
      <c r="I348" s="71"/>
    </row>
    <row r="349" spans="1:9">
      <c r="A349" s="79" t="s">
        <v>258</v>
      </c>
      <c r="B349" s="189" t="s">
        <v>727</v>
      </c>
      <c r="C349" s="189"/>
      <c r="D349" s="68" t="s">
        <v>177</v>
      </c>
      <c r="E349" s="69">
        <v>114</v>
      </c>
      <c r="F349" s="70">
        <v>56.2</v>
      </c>
      <c r="G349" s="70">
        <f t="shared" si="6"/>
        <v>6406.8</v>
      </c>
      <c r="H349" s="81"/>
      <c r="I349" s="71"/>
    </row>
    <row r="350" spans="1:9">
      <c r="A350" s="79" t="s">
        <v>259</v>
      </c>
      <c r="B350" s="189" t="s">
        <v>728</v>
      </c>
      <c r="C350" s="189"/>
      <c r="D350" s="68" t="s">
        <v>753</v>
      </c>
      <c r="E350" s="69">
        <v>52.8</v>
      </c>
      <c r="F350" s="70">
        <v>12.74</v>
      </c>
      <c r="G350" s="70">
        <f t="shared" si="6"/>
        <v>672.67</v>
      </c>
      <c r="H350" s="81"/>
      <c r="I350" s="71"/>
    </row>
    <row r="351" spans="1:9">
      <c r="A351" s="79" t="s">
        <v>260</v>
      </c>
      <c r="B351" s="189" t="s">
        <v>729</v>
      </c>
      <c r="C351" s="189"/>
      <c r="D351" s="68" t="s">
        <v>753</v>
      </c>
      <c r="E351" s="69">
        <v>158.4</v>
      </c>
      <c r="F351" s="70">
        <v>12.74</v>
      </c>
      <c r="G351" s="70">
        <f t="shared" si="6"/>
        <v>2018.02</v>
      </c>
      <c r="H351" s="81"/>
      <c r="I351" s="71"/>
    </row>
    <row r="352" spans="1:9">
      <c r="A352" s="79" t="s">
        <v>497</v>
      </c>
      <c r="B352" s="189" t="s">
        <v>730</v>
      </c>
      <c r="C352" s="189"/>
      <c r="D352" s="68" t="s">
        <v>755</v>
      </c>
      <c r="E352" s="69">
        <v>90</v>
      </c>
      <c r="F352" s="70">
        <v>58.6</v>
      </c>
      <c r="G352" s="70">
        <f t="shared" si="6"/>
        <v>5274</v>
      </c>
      <c r="H352" s="81"/>
      <c r="I352" s="71"/>
    </row>
    <row r="353" spans="1:9">
      <c r="A353" s="79" t="s">
        <v>498</v>
      </c>
      <c r="B353" s="189" t="s">
        <v>731</v>
      </c>
      <c r="C353" s="189"/>
      <c r="D353" s="68" t="s">
        <v>755</v>
      </c>
      <c r="E353" s="69">
        <v>114</v>
      </c>
      <c r="F353" s="70">
        <v>58.6</v>
      </c>
      <c r="G353" s="70">
        <f t="shared" si="6"/>
        <v>6680.4</v>
      </c>
      <c r="H353" s="81"/>
      <c r="I353" s="71"/>
    </row>
    <row r="354" spans="1:9">
      <c r="A354" s="79" t="s">
        <v>515</v>
      </c>
      <c r="B354" s="189" t="s">
        <v>798</v>
      </c>
      <c r="C354" s="189"/>
      <c r="D354" s="68" t="s">
        <v>755</v>
      </c>
      <c r="E354" s="69">
        <v>250</v>
      </c>
      <c r="F354" s="70">
        <v>16.690000000000001</v>
      </c>
      <c r="G354" s="70">
        <f t="shared" si="6"/>
        <v>4172.5</v>
      </c>
      <c r="H354" s="81"/>
      <c r="I354" s="71"/>
    </row>
    <row r="355" spans="1:9">
      <c r="A355" s="79" t="s">
        <v>516</v>
      </c>
      <c r="B355" s="189" t="s">
        <v>799</v>
      </c>
      <c r="C355" s="189"/>
      <c r="D355" s="68" t="s">
        <v>1139</v>
      </c>
      <c r="E355" s="69">
        <v>250</v>
      </c>
      <c r="F355" s="70">
        <v>12.2</v>
      </c>
      <c r="G355" s="70">
        <f t="shared" si="6"/>
        <v>3050</v>
      </c>
      <c r="H355" s="81"/>
      <c r="I355" s="71"/>
    </row>
    <row r="356" spans="1:9">
      <c r="A356" s="79" t="s">
        <v>803</v>
      </c>
      <c r="B356" s="189" t="s">
        <v>800</v>
      </c>
      <c r="C356" s="189"/>
      <c r="D356" s="68" t="s">
        <v>1139</v>
      </c>
      <c r="E356" s="69">
        <v>84</v>
      </c>
      <c r="F356" s="70">
        <v>81.099999999999994</v>
      </c>
      <c r="G356" s="70">
        <f t="shared" si="6"/>
        <v>6812.4</v>
      </c>
      <c r="H356" s="81"/>
      <c r="I356" s="71"/>
    </row>
    <row r="357" spans="1:9">
      <c r="A357" s="79" t="s">
        <v>804</v>
      </c>
      <c r="B357" s="189" t="s">
        <v>802</v>
      </c>
      <c r="C357" s="189"/>
      <c r="D357" s="68" t="s">
        <v>755</v>
      </c>
      <c r="E357" s="69">
        <v>640</v>
      </c>
      <c r="F357" s="70">
        <v>19.920000000000002</v>
      </c>
      <c r="G357" s="70">
        <f t="shared" si="6"/>
        <v>12748.8</v>
      </c>
      <c r="H357" s="81"/>
      <c r="I357" s="71"/>
    </row>
    <row r="358" spans="1:9">
      <c r="A358" s="79" t="s">
        <v>805</v>
      </c>
      <c r="B358" s="189" t="s">
        <v>801</v>
      </c>
      <c r="C358" s="189"/>
      <c r="D358" s="68" t="s">
        <v>1139</v>
      </c>
      <c r="E358" s="69">
        <v>40</v>
      </c>
      <c r="F358" s="70">
        <v>14.71</v>
      </c>
      <c r="G358" s="70">
        <f t="shared" si="6"/>
        <v>588.4</v>
      </c>
      <c r="H358" s="81"/>
      <c r="I358" s="71"/>
    </row>
    <row r="359" spans="1:9">
      <c r="A359" s="79" t="s">
        <v>806</v>
      </c>
      <c r="B359" s="189" t="s">
        <v>732</v>
      </c>
      <c r="C359" s="189"/>
      <c r="D359" s="68" t="s">
        <v>753</v>
      </c>
      <c r="E359" s="69">
        <v>49.631999999999998</v>
      </c>
      <c r="F359" s="70">
        <v>13.72</v>
      </c>
      <c r="G359" s="70">
        <f t="shared" si="6"/>
        <v>680.95</v>
      </c>
      <c r="H359" s="81"/>
      <c r="I359" s="71"/>
    </row>
    <row r="360" spans="1:9">
      <c r="A360" s="79" t="s">
        <v>807</v>
      </c>
      <c r="B360" s="189" t="s">
        <v>733</v>
      </c>
      <c r="C360" s="189"/>
      <c r="D360" s="68" t="s">
        <v>753</v>
      </c>
      <c r="E360" s="69">
        <v>148.89599999999999</v>
      </c>
      <c r="F360" s="70">
        <v>13.72</v>
      </c>
      <c r="G360" s="70">
        <f t="shared" si="6"/>
        <v>2042.85</v>
      </c>
      <c r="H360" s="81"/>
      <c r="I360" s="71"/>
    </row>
    <row r="361" spans="1:9">
      <c r="A361" s="65"/>
      <c r="B361" s="190" t="s">
        <v>525</v>
      </c>
      <c r="C361" s="188"/>
      <c r="D361" s="68"/>
      <c r="E361" s="69"/>
      <c r="F361" s="70"/>
      <c r="G361" s="74">
        <f>SUM(G337:G360)</f>
        <v>61531.26</v>
      </c>
      <c r="H361" s="100">
        <f>G362/H643</f>
        <v>4.3799999999999999E-2</v>
      </c>
      <c r="I361" s="101"/>
    </row>
    <row r="362" spans="1:9" s="21" customFormat="1">
      <c r="A362" s="102"/>
      <c r="B362" s="191" t="s">
        <v>108</v>
      </c>
      <c r="C362" s="192"/>
      <c r="D362" s="82"/>
      <c r="E362" s="83"/>
      <c r="F362" s="84"/>
      <c r="G362" s="84">
        <f>SUM(G361+G334+G323+G307+G303+G298+G288)</f>
        <v>137839.53</v>
      </c>
      <c r="H362" s="84">
        <f>G362*1</f>
        <v>137839.53</v>
      </c>
      <c r="I362" s="103"/>
    </row>
    <row r="363" spans="1:9" ht="15">
      <c r="A363" s="65" t="s">
        <v>172</v>
      </c>
      <c r="B363" s="184" t="s">
        <v>173</v>
      </c>
      <c r="C363" s="184"/>
      <c r="D363" s="68" t="s">
        <v>761</v>
      </c>
      <c r="E363" s="69"/>
      <c r="F363" s="70"/>
      <c r="G363" s="70"/>
      <c r="H363" s="81">
        <v>0</v>
      </c>
      <c r="I363" s="71"/>
    </row>
    <row r="364" spans="1:9" ht="15">
      <c r="A364" s="65" t="s">
        <v>174</v>
      </c>
      <c r="B364" s="184" t="s">
        <v>175</v>
      </c>
      <c r="C364" s="184"/>
      <c r="D364" s="68" t="s">
        <v>761</v>
      </c>
      <c r="E364" s="69"/>
      <c r="F364" s="70"/>
      <c r="G364" s="70"/>
      <c r="H364" s="81">
        <v>0</v>
      </c>
      <c r="I364" s="71"/>
    </row>
    <row r="365" spans="1:9" ht="15">
      <c r="A365" s="65" t="s">
        <v>971</v>
      </c>
      <c r="B365" s="184" t="s">
        <v>970</v>
      </c>
      <c r="C365" s="184"/>
      <c r="D365" s="68" t="s">
        <v>761</v>
      </c>
      <c r="E365" s="69"/>
      <c r="F365" s="70"/>
      <c r="G365" s="70"/>
      <c r="H365" s="81">
        <v>0</v>
      </c>
      <c r="I365" s="71"/>
    </row>
    <row r="366" spans="1:9">
      <c r="A366" s="65" t="s">
        <v>972</v>
      </c>
      <c r="B366" s="189" t="s">
        <v>152</v>
      </c>
      <c r="C366" s="189"/>
      <c r="D366" s="68" t="s">
        <v>177</v>
      </c>
      <c r="E366" s="69">
        <v>3</v>
      </c>
      <c r="F366" s="70">
        <v>214.59</v>
      </c>
      <c r="G366" s="70">
        <f t="shared" ref="G366:G377" si="7">E366*F366</f>
        <v>643.77</v>
      </c>
      <c r="H366" s="81"/>
      <c r="I366" s="71"/>
    </row>
    <row r="367" spans="1:9">
      <c r="A367" s="65" t="s">
        <v>973</v>
      </c>
      <c r="B367" s="189" t="s">
        <v>30</v>
      </c>
      <c r="C367" s="189"/>
      <c r="D367" s="68" t="s">
        <v>177</v>
      </c>
      <c r="E367" s="69">
        <v>3</v>
      </c>
      <c r="F367" s="70">
        <v>24.51</v>
      </c>
      <c r="G367" s="70">
        <f t="shared" si="7"/>
        <v>73.53</v>
      </c>
      <c r="H367" s="81"/>
      <c r="I367" s="71"/>
    </row>
    <row r="368" spans="1:9">
      <c r="A368" s="65" t="s">
        <v>974</v>
      </c>
      <c r="B368" s="189" t="s">
        <v>31</v>
      </c>
      <c r="C368" s="189"/>
      <c r="D368" s="68" t="s">
        <v>177</v>
      </c>
      <c r="E368" s="69">
        <v>6</v>
      </c>
      <c r="F368" s="70">
        <v>3.2</v>
      </c>
      <c r="G368" s="70">
        <f t="shared" si="7"/>
        <v>19.2</v>
      </c>
      <c r="H368" s="81"/>
      <c r="I368" s="71"/>
    </row>
    <row r="369" spans="1:9">
      <c r="A369" s="65" t="s">
        <v>113</v>
      </c>
      <c r="B369" s="189" t="s">
        <v>32</v>
      </c>
      <c r="C369" s="189"/>
      <c r="D369" s="68" t="s">
        <v>177</v>
      </c>
      <c r="E369" s="69">
        <v>321</v>
      </c>
      <c r="F369" s="70">
        <v>9.1999999999999993</v>
      </c>
      <c r="G369" s="70">
        <f t="shared" si="7"/>
        <v>2953.2</v>
      </c>
      <c r="H369" s="81"/>
      <c r="I369" s="71"/>
    </row>
    <row r="370" spans="1:9">
      <c r="A370" s="65" t="s">
        <v>114</v>
      </c>
      <c r="B370" s="189" t="s">
        <v>33</v>
      </c>
      <c r="C370" s="189"/>
      <c r="D370" s="68" t="s">
        <v>177</v>
      </c>
      <c r="E370" s="69">
        <v>321</v>
      </c>
      <c r="F370" s="70">
        <v>5.8</v>
      </c>
      <c r="G370" s="70">
        <f t="shared" si="7"/>
        <v>1861.8</v>
      </c>
      <c r="H370" s="81"/>
      <c r="I370" s="71"/>
    </row>
    <row r="371" spans="1:9">
      <c r="A371" s="65" t="s">
        <v>115</v>
      </c>
      <c r="B371" s="189" t="s">
        <v>34</v>
      </c>
      <c r="C371" s="189"/>
      <c r="D371" s="68" t="s">
        <v>755</v>
      </c>
      <c r="E371" s="69">
        <v>318</v>
      </c>
      <c r="F371" s="70">
        <v>8.5</v>
      </c>
      <c r="G371" s="70">
        <f t="shared" si="7"/>
        <v>2703</v>
      </c>
      <c r="H371" s="81"/>
      <c r="I371" s="71"/>
    </row>
    <row r="372" spans="1:9">
      <c r="A372" s="65" t="s">
        <v>116</v>
      </c>
      <c r="B372" s="189" t="s">
        <v>35</v>
      </c>
      <c r="C372" s="189"/>
      <c r="D372" s="68" t="s">
        <v>755</v>
      </c>
      <c r="E372" s="69">
        <v>9</v>
      </c>
      <c r="F372" s="70">
        <v>7.03</v>
      </c>
      <c r="G372" s="70">
        <f t="shared" si="7"/>
        <v>63.27</v>
      </c>
      <c r="H372" s="81"/>
      <c r="I372" s="71"/>
    </row>
    <row r="373" spans="1:9">
      <c r="A373" s="65" t="s">
        <v>117</v>
      </c>
      <c r="B373" s="189" t="s">
        <v>36</v>
      </c>
      <c r="C373" s="189"/>
      <c r="D373" s="68" t="s">
        <v>177</v>
      </c>
      <c r="E373" s="69">
        <v>9</v>
      </c>
      <c r="F373" s="70">
        <v>20.65</v>
      </c>
      <c r="G373" s="70">
        <f t="shared" si="7"/>
        <v>185.85</v>
      </c>
      <c r="H373" s="81"/>
      <c r="I373" s="71"/>
    </row>
    <row r="374" spans="1:9">
      <c r="A374" s="65" t="s">
        <v>118</v>
      </c>
      <c r="B374" s="189" t="s">
        <v>37</v>
      </c>
      <c r="C374" s="189"/>
      <c r="D374" s="68" t="s">
        <v>177</v>
      </c>
      <c r="E374" s="69">
        <v>9</v>
      </c>
      <c r="F374" s="70">
        <v>2.2000000000000002</v>
      </c>
      <c r="G374" s="70">
        <f t="shared" si="7"/>
        <v>19.8</v>
      </c>
      <c r="H374" s="81"/>
      <c r="I374" s="71"/>
    </row>
    <row r="375" spans="1:9">
      <c r="A375" s="65" t="s">
        <v>119</v>
      </c>
      <c r="B375" s="189" t="s">
        <v>38</v>
      </c>
      <c r="C375" s="189"/>
      <c r="D375" s="68" t="s">
        <v>177</v>
      </c>
      <c r="E375" s="69">
        <v>1</v>
      </c>
      <c r="F375" s="70">
        <v>41.5</v>
      </c>
      <c r="G375" s="70">
        <f t="shared" si="7"/>
        <v>41.5</v>
      </c>
      <c r="H375" s="81"/>
      <c r="I375" s="71"/>
    </row>
    <row r="376" spans="1:9">
      <c r="A376" s="65" t="s">
        <v>120</v>
      </c>
      <c r="B376" s="189" t="s">
        <v>39</v>
      </c>
      <c r="C376" s="189"/>
      <c r="D376" s="68" t="s">
        <v>756</v>
      </c>
      <c r="E376" s="69">
        <v>3</v>
      </c>
      <c r="F376" s="70">
        <v>55</v>
      </c>
      <c r="G376" s="70">
        <f t="shared" si="7"/>
        <v>165</v>
      </c>
      <c r="H376" s="81"/>
      <c r="I376" s="71"/>
    </row>
    <row r="377" spans="1:9">
      <c r="A377" s="65" t="s">
        <v>121</v>
      </c>
      <c r="B377" s="189" t="s">
        <v>40</v>
      </c>
      <c r="C377" s="189"/>
      <c r="D377" s="68" t="s">
        <v>177</v>
      </c>
      <c r="E377" s="69">
        <v>3</v>
      </c>
      <c r="F377" s="70">
        <v>14.8</v>
      </c>
      <c r="G377" s="70">
        <f t="shared" si="7"/>
        <v>44.4</v>
      </c>
      <c r="H377" s="81"/>
      <c r="I377" s="71"/>
    </row>
    <row r="378" spans="1:9">
      <c r="A378" s="65"/>
      <c r="B378" s="190" t="s">
        <v>525</v>
      </c>
      <c r="C378" s="188"/>
      <c r="D378" s="68"/>
      <c r="E378" s="69"/>
      <c r="F378" s="70"/>
      <c r="G378" s="74">
        <f>SUM(G366:G377)</f>
        <v>8774.32</v>
      </c>
      <c r="H378" s="81"/>
      <c r="I378" s="71"/>
    </row>
    <row r="379" spans="1:9" ht="15">
      <c r="A379" s="65" t="s">
        <v>22</v>
      </c>
      <c r="B379" s="184" t="s">
        <v>809</v>
      </c>
      <c r="C379" s="184"/>
      <c r="D379" s="68"/>
      <c r="E379" s="69"/>
      <c r="F379" s="70"/>
      <c r="G379" s="70"/>
      <c r="H379" s="81"/>
      <c r="I379" s="71"/>
    </row>
    <row r="380" spans="1:9">
      <c r="A380" s="65" t="s">
        <v>178</v>
      </c>
      <c r="B380" s="189" t="s">
        <v>813</v>
      </c>
      <c r="C380" s="189"/>
      <c r="D380" s="68" t="s">
        <v>755</v>
      </c>
      <c r="E380" s="69">
        <v>320</v>
      </c>
      <c r="F380" s="69">
        <v>5.77</v>
      </c>
      <c r="G380" s="70">
        <f t="shared" ref="G380:G443" si="8">E380*F380</f>
        <v>1846.4</v>
      </c>
      <c r="H380" s="81"/>
      <c r="I380" s="71"/>
    </row>
    <row r="381" spans="1:9">
      <c r="A381" s="65" t="s">
        <v>179</v>
      </c>
      <c r="B381" s="189" t="s">
        <v>810</v>
      </c>
      <c r="C381" s="189"/>
      <c r="D381" s="68" t="s">
        <v>755</v>
      </c>
      <c r="E381" s="69">
        <v>208</v>
      </c>
      <c r="F381" s="69">
        <v>5.83</v>
      </c>
      <c r="G381" s="70">
        <f t="shared" si="8"/>
        <v>1212.6400000000001</v>
      </c>
      <c r="H381" s="81"/>
      <c r="I381" s="71"/>
    </row>
    <row r="382" spans="1:9">
      <c r="A382" s="65" t="s">
        <v>180</v>
      </c>
      <c r="B382" s="189" t="s">
        <v>811</v>
      </c>
      <c r="C382" s="189"/>
      <c r="D382" s="68" t="s">
        <v>755</v>
      </c>
      <c r="E382" s="69">
        <v>250</v>
      </c>
      <c r="F382" s="69">
        <v>13.55</v>
      </c>
      <c r="G382" s="70">
        <f t="shared" si="8"/>
        <v>3387.5</v>
      </c>
      <c r="H382" s="81"/>
      <c r="I382" s="71"/>
    </row>
    <row r="383" spans="1:9">
      <c r="A383" s="65" t="s">
        <v>181</v>
      </c>
      <c r="B383" s="189" t="s">
        <v>812</v>
      </c>
      <c r="C383" s="189"/>
      <c r="D383" s="68" t="s">
        <v>755</v>
      </c>
      <c r="E383" s="69">
        <v>240</v>
      </c>
      <c r="F383" s="69">
        <v>26.56</v>
      </c>
      <c r="G383" s="70">
        <f t="shared" si="8"/>
        <v>6374.4</v>
      </c>
      <c r="H383" s="81"/>
      <c r="I383" s="71"/>
    </row>
    <row r="384" spans="1:9">
      <c r="A384" s="65" t="s">
        <v>182</v>
      </c>
      <c r="B384" s="189" t="s">
        <v>41</v>
      </c>
      <c r="C384" s="189"/>
      <c r="D384" s="68" t="s">
        <v>755</v>
      </c>
      <c r="E384" s="69">
        <v>800</v>
      </c>
      <c r="F384" s="70">
        <v>1.96</v>
      </c>
      <c r="G384" s="70">
        <f t="shared" si="8"/>
        <v>1568</v>
      </c>
      <c r="H384" s="81"/>
      <c r="I384" s="71"/>
    </row>
    <row r="385" spans="1:9">
      <c r="A385" s="65" t="s">
        <v>462</v>
      </c>
      <c r="B385" s="189" t="s">
        <v>42</v>
      </c>
      <c r="C385" s="189"/>
      <c r="D385" s="68" t="s">
        <v>755</v>
      </c>
      <c r="E385" s="69">
        <v>520</v>
      </c>
      <c r="F385" s="70">
        <v>2.25</v>
      </c>
      <c r="G385" s="70">
        <f t="shared" si="8"/>
        <v>1170</v>
      </c>
      <c r="H385" s="81"/>
      <c r="I385" s="71"/>
    </row>
    <row r="386" spans="1:9">
      <c r="A386" s="65" t="s">
        <v>463</v>
      </c>
      <c r="B386" s="189" t="s">
        <v>814</v>
      </c>
      <c r="C386" s="189"/>
      <c r="D386" s="68" t="s">
        <v>756</v>
      </c>
      <c r="E386" s="69">
        <v>15</v>
      </c>
      <c r="F386" s="70">
        <v>36.24</v>
      </c>
      <c r="G386" s="70">
        <f t="shared" si="8"/>
        <v>543.6</v>
      </c>
      <c r="H386" s="81"/>
      <c r="I386" s="71"/>
    </row>
    <row r="387" spans="1:9">
      <c r="A387" s="65" t="s">
        <v>584</v>
      </c>
      <c r="B387" s="189" t="s">
        <v>46</v>
      </c>
      <c r="C387" s="189"/>
      <c r="D387" s="68" t="s">
        <v>1139</v>
      </c>
      <c r="E387" s="69">
        <v>49</v>
      </c>
      <c r="F387" s="70">
        <v>2.15</v>
      </c>
      <c r="G387" s="70">
        <f t="shared" si="8"/>
        <v>105.35</v>
      </c>
      <c r="H387" s="81"/>
      <c r="I387" s="71"/>
    </row>
    <row r="388" spans="1:9">
      <c r="A388" s="65" t="s">
        <v>585</v>
      </c>
      <c r="B388" s="189" t="s">
        <v>208</v>
      </c>
      <c r="C388" s="189"/>
      <c r="D388" s="68" t="s">
        <v>1139</v>
      </c>
      <c r="E388" s="69">
        <v>308</v>
      </c>
      <c r="F388" s="70">
        <v>2.15</v>
      </c>
      <c r="G388" s="70">
        <f t="shared" si="8"/>
        <v>662.2</v>
      </c>
      <c r="H388" s="81"/>
      <c r="I388" s="71"/>
    </row>
    <row r="389" spans="1:9">
      <c r="A389" s="65" t="s">
        <v>429</v>
      </c>
      <c r="B389" s="189" t="s">
        <v>815</v>
      </c>
      <c r="C389" s="189"/>
      <c r="D389" s="68" t="s">
        <v>1139</v>
      </c>
      <c r="E389" s="69">
        <v>1</v>
      </c>
      <c r="F389" s="70">
        <v>1980</v>
      </c>
      <c r="G389" s="70">
        <f t="shared" si="8"/>
        <v>1980</v>
      </c>
      <c r="H389" s="81"/>
      <c r="I389" s="71"/>
    </row>
    <row r="390" spans="1:9">
      <c r="A390" s="65" t="s">
        <v>430</v>
      </c>
      <c r="B390" s="189" t="s">
        <v>209</v>
      </c>
      <c r="C390" s="189"/>
      <c r="D390" s="68" t="s">
        <v>1139</v>
      </c>
      <c r="E390" s="69">
        <v>1</v>
      </c>
      <c r="F390" s="70">
        <v>127</v>
      </c>
      <c r="G390" s="70">
        <f t="shared" si="8"/>
        <v>127</v>
      </c>
      <c r="H390" s="81"/>
      <c r="I390" s="71"/>
    </row>
    <row r="391" spans="1:9">
      <c r="A391" s="65" t="s">
        <v>586</v>
      </c>
      <c r="B391" s="189" t="s">
        <v>210</v>
      </c>
      <c r="C391" s="189"/>
      <c r="D391" s="68" t="s">
        <v>1139</v>
      </c>
      <c r="E391" s="69">
        <v>1</v>
      </c>
      <c r="F391" s="70">
        <v>127</v>
      </c>
      <c r="G391" s="70">
        <f t="shared" si="8"/>
        <v>127</v>
      </c>
      <c r="H391" s="81"/>
      <c r="I391" s="71"/>
    </row>
    <row r="392" spans="1:9">
      <c r="A392" s="65" t="s">
        <v>587</v>
      </c>
      <c r="B392" s="189" t="s">
        <v>211</v>
      </c>
      <c r="C392" s="189"/>
      <c r="D392" s="68" t="s">
        <v>1139</v>
      </c>
      <c r="E392" s="69">
        <v>1</v>
      </c>
      <c r="F392" s="70">
        <v>48.67</v>
      </c>
      <c r="G392" s="70">
        <f t="shared" si="8"/>
        <v>48.67</v>
      </c>
      <c r="H392" s="81"/>
      <c r="I392" s="71"/>
    </row>
    <row r="393" spans="1:9">
      <c r="A393" s="65" t="s">
        <v>588</v>
      </c>
      <c r="B393" s="189" t="s">
        <v>212</v>
      </c>
      <c r="C393" s="189"/>
      <c r="D393" s="68" t="s">
        <v>1139</v>
      </c>
      <c r="E393" s="69">
        <v>9</v>
      </c>
      <c r="F393" s="70">
        <v>20.65</v>
      </c>
      <c r="G393" s="70">
        <f t="shared" si="8"/>
        <v>185.85</v>
      </c>
      <c r="H393" s="81"/>
      <c r="I393" s="71"/>
    </row>
    <row r="394" spans="1:9">
      <c r="A394" s="65" t="s">
        <v>589</v>
      </c>
      <c r="B394" s="189" t="s">
        <v>213</v>
      </c>
      <c r="C394" s="189"/>
      <c r="D394" s="68" t="s">
        <v>204</v>
      </c>
      <c r="E394" s="69">
        <v>1</v>
      </c>
      <c r="F394" s="70">
        <v>1620</v>
      </c>
      <c r="G394" s="70">
        <f t="shared" si="8"/>
        <v>1620</v>
      </c>
      <c r="H394" s="81"/>
      <c r="I394" s="71"/>
    </row>
    <row r="395" spans="1:9">
      <c r="A395" s="65" t="s">
        <v>590</v>
      </c>
      <c r="B395" s="189" t="s">
        <v>214</v>
      </c>
      <c r="C395" s="189"/>
      <c r="D395" s="68" t="s">
        <v>755</v>
      </c>
      <c r="E395" s="69">
        <v>2</v>
      </c>
      <c r="F395" s="70">
        <v>222</v>
      </c>
      <c r="G395" s="70">
        <f t="shared" si="8"/>
        <v>444</v>
      </c>
      <c r="H395" s="81"/>
      <c r="I395" s="71"/>
    </row>
    <row r="396" spans="1:9">
      <c r="A396" s="65" t="s">
        <v>591</v>
      </c>
      <c r="B396" s="189" t="s">
        <v>215</v>
      </c>
      <c r="C396" s="189"/>
      <c r="D396" s="68" t="s">
        <v>755</v>
      </c>
      <c r="E396" s="69">
        <v>8.4</v>
      </c>
      <c r="F396" s="70">
        <v>31.7</v>
      </c>
      <c r="G396" s="70">
        <f t="shared" si="8"/>
        <v>266.27999999999997</v>
      </c>
      <c r="H396" s="81"/>
      <c r="I396" s="71"/>
    </row>
    <row r="397" spans="1:9">
      <c r="A397" s="65" t="s">
        <v>592</v>
      </c>
      <c r="B397" s="189" t="s">
        <v>216</v>
      </c>
      <c r="C397" s="189"/>
      <c r="D397" s="68" t="s">
        <v>1139</v>
      </c>
      <c r="E397" s="69">
        <v>10</v>
      </c>
      <c r="F397" s="70">
        <v>11</v>
      </c>
      <c r="G397" s="70">
        <f t="shared" si="8"/>
        <v>110</v>
      </c>
      <c r="H397" s="81"/>
      <c r="I397" s="71"/>
    </row>
    <row r="398" spans="1:9">
      <c r="A398" s="65" t="s">
        <v>593</v>
      </c>
      <c r="B398" s="189" t="s">
        <v>217</v>
      </c>
      <c r="C398" s="189"/>
      <c r="D398" s="68" t="s">
        <v>1139</v>
      </c>
      <c r="E398" s="69">
        <v>35</v>
      </c>
      <c r="F398" s="70">
        <v>3.2</v>
      </c>
      <c r="G398" s="70">
        <f t="shared" si="8"/>
        <v>112</v>
      </c>
      <c r="H398" s="81"/>
      <c r="I398" s="71"/>
    </row>
    <row r="399" spans="1:9">
      <c r="A399" s="65" t="s">
        <v>594</v>
      </c>
      <c r="B399" s="189" t="s">
        <v>218</v>
      </c>
      <c r="C399" s="189"/>
      <c r="D399" s="68" t="s">
        <v>1139</v>
      </c>
      <c r="E399" s="69">
        <v>6</v>
      </c>
      <c r="F399" s="70">
        <v>12</v>
      </c>
      <c r="G399" s="70">
        <f t="shared" si="8"/>
        <v>72</v>
      </c>
      <c r="H399" s="81"/>
      <c r="I399" s="71"/>
    </row>
    <row r="400" spans="1:9">
      <c r="A400" s="65" t="s">
        <v>595</v>
      </c>
      <c r="B400" s="189" t="s">
        <v>219</v>
      </c>
      <c r="C400" s="189"/>
      <c r="D400" s="68" t="s">
        <v>1139</v>
      </c>
      <c r="E400" s="69">
        <v>15</v>
      </c>
      <c r="F400" s="70">
        <v>3.8</v>
      </c>
      <c r="G400" s="70">
        <f t="shared" si="8"/>
        <v>57</v>
      </c>
      <c r="H400" s="81"/>
      <c r="I400" s="71"/>
    </row>
    <row r="401" spans="1:9">
      <c r="A401" s="65" t="s">
        <v>431</v>
      </c>
      <c r="B401" s="189" t="s">
        <v>816</v>
      </c>
      <c r="C401" s="189"/>
      <c r="D401" s="68" t="s">
        <v>1139</v>
      </c>
      <c r="E401" s="69">
        <v>8</v>
      </c>
      <c r="F401" s="70">
        <v>191.37</v>
      </c>
      <c r="G401" s="70">
        <f t="shared" si="8"/>
        <v>1530.96</v>
      </c>
      <c r="H401" s="81"/>
      <c r="I401" s="71"/>
    </row>
    <row r="402" spans="1:9">
      <c r="A402" s="65" t="s">
        <v>432</v>
      </c>
      <c r="B402" s="189" t="s">
        <v>817</v>
      </c>
      <c r="C402" s="189"/>
      <c r="D402" s="68" t="s">
        <v>1139</v>
      </c>
      <c r="E402" s="69">
        <v>1</v>
      </c>
      <c r="F402" s="70">
        <v>32.619999999999997</v>
      </c>
      <c r="G402" s="70">
        <f t="shared" si="8"/>
        <v>32.619999999999997</v>
      </c>
      <c r="H402" s="81"/>
      <c r="I402" s="71"/>
    </row>
    <row r="403" spans="1:9">
      <c r="A403" s="65" t="s">
        <v>433</v>
      </c>
      <c r="B403" s="189" t="s">
        <v>205</v>
      </c>
      <c r="C403" s="189"/>
      <c r="D403" s="68" t="s">
        <v>755</v>
      </c>
      <c r="E403" s="69">
        <v>135</v>
      </c>
      <c r="F403" s="70">
        <v>53</v>
      </c>
      <c r="G403" s="70">
        <f t="shared" si="8"/>
        <v>7155</v>
      </c>
      <c r="H403" s="81"/>
      <c r="I403" s="71"/>
    </row>
    <row r="404" spans="1:9">
      <c r="A404" s="65" t="s">
        <v>434</v>
      </c>
      <c r="B404" s="189" t="s">
        <v>206</v>
      </c>
      <c r="C404" s="189"/>
      <c r="D404" s="68" t="s">
        <v>755</v>
      </c>
      <c r="E404" s="69">
        <v>325</v>
      </c>
      <c r="F404" s="70">
        <v>3.95</v>
      </c>
      <c r="G404" s="70">
        <f t="shared" si="8"/>
        <v>1283.75</v>
      </c>
      <c r="H404" s="81"/>
      <c r="I404" s="71"/>
    </row>
    <row r="405" spans="1:9">
      <c r="A405" s="65" t="s">
        <v>435</v>
      </c>
      <c r="B405" s="189" t="s">
        <v>207</v>
      </c>
      <c r="C405" s="189"/>
      <c r="D405" s="68" t="s">
        <v>755</v>
      </c>
      <c r="E405" s="69">
        <v>30</v>
      </c>
      <c r="F405" s="70">
        <v>3.9</v>
      </c>
      <c r="G405" s="70">
        <f t="shared" si="8"/>
        <v>117</v>
      </c>
      <c r="H405" s="81"/>
      <c r="I405" s="71"/>
    </row>
    <row r="406" spans="1:9">
      <c r="A406" s="65" t="s">
        <v>436</v>
      </c>
      <c r="B406" s="189" t="s">
        <v>822</v>
      </c>
      <c r="C406" s="189"/>
      <c r="D406" s="68" t="s">
        <v>755</v>
      </c>
      <c r="E406" s="69">
        <v>6525</v>
      </c>
      <c r="F406" s="69">
        <v>1.62</v>
      </c>
      <c r="G406" s="70">
        <f t="shared" si="8"/>
        <v>10570.5</v>
      </c>
      <c r="H406" s="81"/>
      <c r="I406" s="71"/>
    </row>
    <row r="407" spans="1:9">
      <c r="A407" s="65" t="s">
        <v>437</v>
      </c>
      <c r="B407" s="189" t="s">
        <v>819</v>
      </c>
      <c r="C407" s="189"/>
      <c r="D407" s="68" t="s">
        <v>755</v>
      </c>
      <c r="E407" s="69">
        <v>2175</v>
      </c>
      <c r="F407" s="69">
        <v>2.02</v>
      </c>
      <c r="G407" s="70">
        <f t="shared" si="8"/>
        <v>4393.5</v>
      </c>
      <c r="H407" s="81"/>
      <c r="I407" s="71"/>
    </row>
    <row r="408" spans="1:9">
      <c r="A408" s="65" t="s">
        <v>284</v>
      </c>
      <c r="B408" s="189" t="s">
        <v>820</v>
      </c>
      <c r="C408" s="189"/>
      <c r="D408" s="68" t="s">
        <v>755</v>
      </c>
      <c r="E408" s="69">
        <v>125</v>
      </c>
      <c r="F408" s="69">
        <v>2.48</v>
      </c>
      <c r="G408" s="70">
        <f t="shared" si="8"/>
        <v>310</v>
      </c>
      <c r="H408" s="81"/>
      <c r="I408" s="71"/>
    </row>
    <row r="409" spans="1:9">
      <c r="A409" s="65" t="s">
        <v>285</v>
      </c>
      <c r="B409" s="189" t="s">
        <v>821</v>
      </c>
      <c r="C409" s="189"/>
      <c r="D409" s="68" t="s">
        <v>755</v>
      </c>
      <c r="E409" s="69">
        <v>475</v>
      </c>
      <c r="F409" s="69">
        <v>3.45</v>
      </c>
      <c r="G409" s="70">
        <f t="shared" si="8"/>
        <v>1638.75</v>
      </c>
      <c r="H409" s="81"/>
      <c r="I409" s="71"/>
    </row>
    <row r="410" spans="1:9">
      <c r="A410" s="65" t="s">
        <v>286</v>
      </c>
      <c r="B410" s="189" t="s">
        <v>818</v>
      </c>
      <c r="C410" s="189"/>
      <c r="D410" s="68" t="s">
        <v>755</v>
      </c>
      <c r="E410" s="69">
        <v>90</v>
      </c>
      <c r="F410" s="69">
        <v>31.76</v>
      </c>
      <c r="G410" s="70">
        <f t="shared" si="8"/>
        <v>2858.4</v>
      </c>
      <c r="H410" s="81"/>
      <c r="I410" s="71"/>
    </row>
    <row r="411" spans="1:9">
      <c r="A411" s="65" t="s">
        <v>287</v>
      </c>
      <c r="B411" s="189" t="s">
        <v>220</v>
      </c>
      <c r="C411" s="189"/>
      <c r="D411" s="68" t="s">
        <v>204</v>
      </c>
      <c r="E411" s="69">
        <v>560</v>
      </c>
      <c r="F411" s="70">
        <v>0.55000000000000004</v>
      </c>
      <c r="G411" s="70">
        <f t="shared" si="8"/>
        <v>308</v>
      </c>
      <c r="H411" s="81"/>
      <c r="I411" s="71"/>
    </row>
    <row r="412" spans="1:9">
      <c r="A412" s="65" t="s">
        <v>288</v>
      </c>
      <c r="B412" s="189" t="s">
        <v>221</v>
      </c>
      <c r="C412" s="189"/>
      <c r="D412" s="68" t="s">
        <v>204</v>
      </c>
      <c r="E412" s="69">
        <v>25</v>
      </c>
      <c r="F412" s="70">
        <v>0.6</v>
      </c>
      <c r="G412" s="70">
        <f t="shared" si="8"/>
        <v>15</v>
      </c>
      <c r="H412" s="81"/>
      <c r="I412" s="71"/>
    </row>
    <row r="413" spans="1:9">
      <c r="A413" s="65" t="s">
        <v>183</v>
      </c>
      <c r="B413" s="189" t="s">
        <v>222</v>
      </c>
      <c r="C413" s="189"/>
      <c r="D413" s="68" t="s">
        <v>204</v>
      </c>
      <c r="E413" s="69">
        <v>10</v>
      </c>
      <c r="F413" s="70">
        <v>0.71</v>
      </c>
      <c r="G413" s="70">
        <f t="shared" si="8"/>
        <v>7.1</v>
      </c>
      <c r="H413" s="81">
        <v>0</v>
      </c>
      <c r="I413" s="71"/>
    </row>
    <row r="414" spans="1:9">
      <c r="A414" s="65" t="s">
        <v>184</v>
      </c>
      <c r="B414" s="189" t="s">
        <v>223</v>
      </c>
      <c r="C414" s="189"/>
      <c r="D414" s="68" t="s">
        <v>204</v>
      </c>
      <c r="E414" s="69">
        <v>4</v>
      </c>
      <c r="F414" s="70">
        <v>1.1000000000000001</v>
      </c>
      <c r="G414" s="70">
        <f t="shared" si="8"/>
        <v>4.4000000000000004</v>
      </c>
      <c r="H414" s="81">
        <v>0</v>
      </c>
      <c r="I414" s="71"/>
    </row>
    <row r="415" spans="1:9">
      <c r="A415" s="65" t="s">
        <v>185</v>
      </c>
      <c r="B415" s="189" t="s">
        <v>224</v>
      </c>
      <c r="C415" s="189"/>
      <c r="D415" s="68" t="s">
        <v>204</v>
      </c>
      <c r="E415" s="69">
        <v>8</v>
      </c>
      <c r="F415" s="70">
        <v>1.25</v>
      </c>
      <c r="G415" s="70">
        <f t="shared" si="8"/>
        <v>10</v>
      </c>
      <c r="H415" s="81">
        <v>0</v>
      </c>
      <c r="I415" s="71"/>
    </row>
    <row r="416" spans="1:9">
      <c r="A416" s="65" t="s">
        <v>186</v>
      </c>
      <c r="B416" s="189" t="s">
        <v>225</v>
      </c>
      <c r="C416" s="189"/>
      <c r="D416" s="68" t="s">
        <v>1139</v>
      </c>
      <c r="E416" s="69">
        <v>1</v>
      </c>
      <c r="F416" s="70">
        <v>97</v>
      </c>
      <c r="G416" s="70">
        <f t="shared" si="8"/>
        <v>97</v>
      </c>
      <c r="H416" s="81"/>
      <c r="I416" s="71"/>
    </row>
    <row r="417" spans="1:9">
      <c r="A417" s="65" t="s">
        <v>843</v>
      </c>
      <c r="B417" s="189" t="s">
        <v>226</v>
      </c>
      <c r="C417" s="189"/>
      <c r="D417" s="68" t="s">
        <v>1139</v>
      </c>
      <c r="E417" s="69">
        <v>3</v>
      </c>
      <c r="F417" s="70">
        <v>68</v>
      </c>
      <c r="G417" s="70">
        <f t="shared" si="8"/>
        <v>204</v>
      </c>
      <c r="H417" s="81"/>
      <c r="I417" s="71"/>
    </row>
    <row r="418" spans="1:9">
      <c r="A418" s="65" t="s">
        <v>844</v>
      </c>
      <c r="B418" s="189" t="s">
        <v>227</v>
      </c>
      <c r="C418" s="189"/>
      <c r="D418" s="68" t="s">
        <v>1139</v>
      </c>
      <c r="E418" s="69">
        <v>5</v>
      </c>
      <c r="F418" s="70">
        <v>42</v>
      </c>
      <c r="G418" s="70">
        <f t="shared" si="8"/>
        <v>210</v>
      </c>
      <c r="H418" s="81"/>
      <c r="I418" s="71"/>
    </row>
    <row r="419" spans="1:9">
      <c r="A419" s="65" t="s">
        <v>845</v>
      </c>
      <c r="B419" s="189" t="s">
        <v>228</v>
      </c>
      <c r="C419" s="189"/>
      <c r="D419" s="68" t="s">
        <v>754</v>
      </c>
      <c r="E419" s="69">
        <v>0.5</v>
      </c>
      <c r="F419" s="70">
        <v>15</v>
      </c>
      <c r="G419" s="70">
        <f t="shared" si="8"/>
        <v>7.5</v>
      </c>
      <c r="H419" s="81"/>
      <c r="I419" s="71"/>
    </row>
    <row r="420" spans="1:9">
      <c r="A420" s="65" t="s">
        <v>846</v>
      </c>
      <c r="B420" s="189" t="s">
        <v>229</v>
      </c>
      <c r="C420" s="189"/>
      <c r="D420" s="68" t="s">
        <v>1139</v>
      </c>
      <c r="E420" s="69">
        <v>155</v>
      </c>
      <c r="F420" s="70">
        <v>5.79</v>
      </c>
      <c r="G420" s="70">
        <f t="shared" si="8"/>
        <v>897.45</v>
      </c>
      <c r="H420" s="81"/>
      <c r="I420" s="71"/>
    </row>
    <row r="421" spans="1:9">
      <c r="A421" s="65" t="s">
        <v>847</v>
      </c>
      <c r="B421" s="189" t="s">
        <v>230</v>
      </c>
      <c r="C421" s="189"/>
      <c r="D421" s="68" t="s">
        <v>1139</v>
      </c>
      <c r="E421" s="69">
        <v>20</v>
      </c>
      <c r="F421" s="70">
        <v>11.44</v>
      </c>
      <c r="G421" s="70">
        <f t="shared" si="8"/>
        <v>228.8</v>
      </c>
      <c r="H421" s="81"/>
      <c r="I421" s="71"/>
    </row>
    <row r="422" spans="1:9">
      <c r="A422" s="65" t="s">
        <v>848</v>
      </c>
      <c r="B422" s="189" t="s">
        <v>231</v>
      </c>
      <c r="C422" s="189"/>
      <c r="D422" s="68" t="s">
        <v>1139</v>
      </c>
      <c r="E422" s="69">
        <v>12</v>
      </c>
      <c r="F422" s="70">
        <v>6.4</v>
      </c>
      <c r="G422" s="70">
        <f t="shared" si="8"/>
        <v>76.8</v>
      </c>
      <c r="H422" s="81"/>
      <c r="I422" s="71"/>
    </row>
    <row r="423" spans="1:9">
      <c r="A423" s="65" t="s">
        <v>849</v>
      </c>
      <c r="B423" s="189" t="s">
        <v>232</v>
      </c>
      <c r="C423" s="189"/>
      <c r="D423" s="68" t="s">
        <v>1139</v>
      </c>
      <c r="E423" s="69">
        <v>1</v>
      </c>
      <c r="F423" s="70">
        <v>2200</v>
      </c>
      <c r="G423" s="70">
        <f t="shared" si="8"/>
        <v>2200</v>
      </c>
      <c r="H423" s="81"/>
      <c r="I423" s="71"/>
    </row>
    <row r="424" spans="1:9">
      <c r="A424" s="65" t="s">
        <v>850</v>
      </c>
      <c r="B424" s="189" t="s">
        <v>233</v>
      </c>
      <c r="C424" s="189"/>
      <c r="D424" s="68" t="s">
        <v>1139</v>
      </c>
      <c r="E424" s="69">
        <v>75</v>
      </c>
      <c r="F424" s="70">
        <v>2.2000000000000002</v>
      </c>
      <c r="G424" s="70">
        <f t="shared" si="8"/>
        <v>165</v>
      </c>
      <c r="H424" s="81"/>
      <c r="I424" s="71"/>
    </row>
    <row r="425" spans="1:9">
      <c r="A425" s="65" t="s">
        <v>851</v>
      </c>
      <c r="B425" s="189" t="s">
        <v>234</v>
      </c>
      <c r="C425" s="189"/>
      <c r="D425" s="68" t="s">
        <v>1139</v>
      </c>
      <c r="E425" s="69">
        <v>18</v>
      </c>
      <c r="F425" s="70">
        <v>2.2000000000000002</v>
      </c>
      <c r="G425" s="70">
        <f t="shared" si="8"/>
        <v>39.6</v>
      </c>
      <c r="H425" s="81"/>
      <c r="I425" s="71"/>
    </row>
    <row r="426" spans="1:9">
      <c r="A426" s="65" t="s">
        <v>852</v>
      </c>
      <c r="B426" s="189" t="s">
        <v>235</v>
      </c>
      <c r="C426" s="189"/>
      <c r="D426" s="68" t="s">
        <v>1139</v>
      </c>
      <c r="E426" s="69">
        <v>26</v>
      </c>
      <c r="F426" s="70">
        <v>2.8</v>
      </c>
      <c r="G426" s="70">
        <f t="shared" si="8"/>
        <v>72.8</v>
      </c>
      <c r="H426" s="81"/>
      <c r="I426" s="71"/>
    </row>
    <row r="427" spans="1:9">
      <c r="A427" s="65" t="s">
        <v>853</v>
      </c>
      <c r="B427" s="189" t="s">
        <v>236</v>
      </c>
      <c r="C427" s="189"/>
      <c r="D427" s="68" t="s">
        <v>1139</v>
      </c>
      <c r="E427" s="69">
        <v>4</v>
      </c>
      <c r="F427" s="70">
        <v>3.55</v>
      </c>
      <c r="G427" s="70">
        <f t="shared" si="8"/>
        <v>14.2</v>
      </c>
      <c r="H427" s="81"/>
      <c r="I427" s="71"/>
    </row>
    <row r="428" spans="1:9">
      <c r="A428" s="65" t="s">
        <v>854</v>
      </c>
      <c r="B428" s="189" t="s">
        <v>237</v>
      </c>
      <c r="C428" s="189"/>
      <c r="D428" s="68" t="s">
        <v>1139</v>
      </c>
      <c r="E428" s="69">
        <v>24</v>
      </c>
      <c r="F428" s="70">
        <v>2.9</v>
      </c>
      <c r="G428" s="70">
        <f t="shared" si="8"/>
        <v>69.599999999999994</v>
      </c>
      <c r="H428" s="81"/>
      <c r="I428" s="71"/>
    </row>
    <row r="429" spans="1:9">
      <c r="A429" s="65" t="s">
        <v>855</v>
      </c>
      <c r="B429" s="189" t="s">
        <v>238</v>
      </c>
      <c r="C429" s="189"/>
      <c r="D429" s="68" t="s">
        <v>1139</v>
      </c>
      <c r="E429" s="69">
        <v>104</v>
      </c>
      <c r="F429" s="70">
        <v>3.2</v>
      </c>
      <c r="G429" s="70">
        <f t="shared" si="8"/>
        <v>332.8</v>
      </c>
      <c r="H429" s="81"/>
      <c r="I429" s="71"/>
    </row>
    <row r="430" spans="1:9">
      <c r="A430" s="65" t="s">
        <v>856</v>
      </c>
      <c r="B430" s="189" t="s">
        <v>239</v>
      </c>
      <c r="C430" s="189"/>
      <c r="D430" s="68" t="s">
        <v>1139</v>
      </c>
      <c r="E430" s="69">
        <v>10</v>
      </c>
      <c r="F430" s="70">
        <v>5.5</v>
      </c>
      <c r="G430" s="70">
        <f t="shared" si="8"/>
        <v>55</v>
      </c>
      <c r="H430" s="81"/>
      <c r="I430" s="71"/>
    </row>
    <row r="431" spans="1:9">
      <c r="A431" s="65" t="s">
        <v>857</v>
      </c>
      <c r="B431" s="189" t="s">
        <v>240</v>
      </c>
      <c r="C431" s="189"/>
      <c r="D431" s="68" t="s">
        <v>1139</v>
      </c>
      <c r="E431" s="69">
        <v>53</v>
      </c>
      <c r="F431" s="70">
        <v>3.2</v>
      </c>
      <c r="G431" s="70">
        <f t="shared" si="8"/>
        <v>169.6</v>
      </c>
      <c r="H431" s="81"/>
      <c r="I431" s="71"/>
    </row>
    <row r="432" spans="1:9">
      <c r="A432" s="65" t="s">
        <v>858</v>
      </c>
      <c r="B432" s="189" t="s">
        <v>241</v>
      </c>
      <c r="C432" s="189"/>
      <c r="D432" s="68" t="s">
        <v>1139</v>
      </c>
      <c r="E432" s="69">
        <v>106</v>
      </c>
      <c r="F432" s="70">
        <v>16.2</v>
      </c>
      <c r="G432" s="70">
        <f t="shared" si="8"/>
        <v>1717.2</v>
      </c>
      <c r="H432" s="81"/>
      <c r="I432" s="71"/>
    </row>
    <row r="433" spans="1:9">
      <c r="A433" s="65" t="s">
        <v>859</v>
      </c>
      <c r="B433" s="189" t="s">
        <v>791</v>
      </c>
      <c r="C433" s="189"/>
      <c r="D433" s="68" t="s">
        <v>1139</v>
      </c>
      <c r="E433" s="69">
        <v>10</v>
      </c>
      <c r="F433" s="70">
        <v>36.4</v>
      </c>
      <c r="G433" s="70">
        <f t="shared" si="8"/>
        <v>364</v>
      </c>
      <c r="H433" s="81"/>
      <c r="I433" s="71"/>
    </row>
    <row r="434" spans="1:9">
      <c r="A434" s="65" t="s">
        <v>860</v>
      </c>
      <c r="B434" s="189" t="s">
        <v>792</v>
      </c>
      <c r="C434" s="189"/>
      <c r="D434" s="68" t="s">
        <v>1139</v>
      </c>
      <c r="E434" s="69">
        <v>104</v>
      </c>
      <c r="F434" s="70">
        <v>5.79</v>
      </c>
      <c r="G434" s="70">
        <f t="shared" si="8"/>
        <v>602.16</v>
      </c>
      <c r="H434" s="81"/>
      <c r="I434" s="71"/>
    </row>
    <row r="435" spans="1:9">
      <c r="A435" s="65" t="s">
        <v>861</v>
      </c>
      <c r="B435" s="226" t="s">
        <v>823</v>
      </c>
      <c r="C435" s="227"/>
      <c r="D435" s="68" t="s">
        <v>1139</v>
      </c>
      <c r="E435" s="69">
        <v>72</v>
      </c>
      <c r="F435" s="70">
        <v>14</v>
      </c>
      <c r="G435" s="70">
        <f t="shared" si="8"/>
        <v>1008</v>
      </c>
      <c r="H435" s="81"/>
      <c r="I435" s="71"/>
    </row>
    <row r="436" spans="1:9">
      <c r="A436" s="65" t="s">
        <v>862</v>
      </c>
      <c r="B436" s="189" t="s">
        <v>824</v>
      </c>
      <c r="C436" s="189"/>
      <c r="D436" s="68" t="s">
        <v>1139</v>
      </c>
      <c r="E436" s="69">
        <v>112</v>
      </c>
      <c r="F436" s="70">
        <v>57.84</v>
      </c>
      <c r="G436" s="70">
        <f t="shared" si="8"/>
        <v>6478.08</v>
      </c>
      <c r="H436" s="81"/>
      <c r="I436" s="71"/>
    </row>
    <row r="437" spans="1:9">
      <c r="A437" s="65" t="s">
        <v>863</v>
      </c>
      <c r="B437" s="189" t="s">
        <v>825</v>
      </c>
      <c r="C437" s="189"/>
      <c r="D437" s="68" t="s">
        <v>1139</v>
      </c>
      <c r="E437" s="69">
        <v>10</v>
      </c>
      <c r="F437" s="70">
        <v>14</v>
      </c>
      <c r="G437" s="70">
        <f t="shared" si="8"/>
        <v>140</v>
      </c>
      <c r="H437" s="81"/>
      <c r="I437" s="71"/>
    </row>
    <row r="438" spans="1:9">
      <c r="A438" s="65" t="s">
        <v>864</v>
      </c>
      <c r="B438" s="189" t="s">
        <v>826</v>
      </c>
      <c r="C438" s="189"/>
      <c r="D438" s="68" t="s">
        <v>1139</v>
      </c>
      <c r="E438" s="69">
        <v>48</v>
      </c>
      <c r="F438" s="70">
        <v>57.84</v>
      </c>
      <c r="G438" s="70">
        <f t="shared" si="8"/>
        <v>2776.32</v>
      </c>
      <c r="H438" s="81"/>
      <c r="I438" s="71"/>
    </row>
    <row r="439" spans="1:9">
      <c r="A439" s="65" t="s">
        <v>865</v>
      </c>
      <c r="B439" s="189" t="s">
        <v>827</v>
      </c>
      <c r="C439" s="189"/>
      <c r="D439" s="68" t="s">
        <v>1139</v>
      </c>
      <c r="E439" s="69">
        <v>24</v>
      </c>
      <c r="F439" s="70">
        <v>41</v>
      </c>
      <c r="G439" s="70">
        <f t="shared" si="8"/>
        <v>984</v>
      </c>
      <c r="H439" s="81"/>
      <c r="I439" s="71"/>
    </row>
    <row r="440" spans="1:9">
      <c r="A440" s="65" t="s">
        <v>866</v>
      </c>
      <c r="B440" s="189" t="s">
        <v>828</v>
      </c>
      <c r="C440" s="189"/>
      <c r="D440" s="68" t="s">
        <v>1139</v>
      </c>
      <c r="E440" s="69">
        <v>34</v>
      </c>
      <c r="F440" s="70">
        <v>65</v>
      </c>
      <c r="G440" s="70">
        <f t="shared" si="8"/>
        <v>2210</v>
      </c>
      <c r="H440" s="81"/>
      <c r="I440" s="71"/>
    </row>
    <row r="441" spans="1:9">
      <c r="A441" s="65" t="s">
        <v>867</v>
      </c>
      <c r="B441" s="189" t="s">
        <v>829</v>
      </c>
      <c r="C441" s="189"/>
      <c r="D441" s="68" t="s">
        <v>1139</v>
      </c>
      <c r="E441" s="69">
        <v>30</v>
      </c>
      <c r="F441" s="70">
        <v>237.87</v>
      </c>
      <c r="G441" s="70">
        <f t="shared" si="8"/>
        <v>7136.1</v>
      </c>
      <c r="H441" s="81"/>
      <c r="I441" s="71"/>
    </row>
    <row r="442" spans="1:9">
      <c r="A442" s="65" t="s">
        <v>868</v>
      </c>
      <c r="B442" s="189" t="s">
        <v>830</v>
      </c>
      <c r="C442" s="189"/>
      <c r="D442" s="68" t="s">
        <v>1139</v>
      </c>
      <c r="E442" s="69">
        <v>12</v>
      </c>
      <c r="F442" s="70">
        <v>119</v>
      </c>
      <c r="G442" s="70">
        <f t="shared" si="8"/>
        <v>1428</v>
      </c>
      <c r="H442" s="81"/>
      <c r="I442" s="71"/>
    </row>
    <row r="443" spans="1:9">
      <c r="A443" s="65" t="s">
        <v>869</v>
      </c>
      <c r="B443" s="189" t="s">
        <v>831</v>
      </c>
      <c r="C443" s="189"/>
      <c r="D443" s="68" t="s">
        <v>1139</v>
      </c>
      <c r="E443" s="69">
        <v>16</v>
      </c>
      <c r="F443" s="70">
        <v>190</v>
      </c>
      <c r="G443" s="70">
        <f t="shared" si="8"/>
        <v>3040</v>
      </c>
      <c r="H443" s="81"/>
      <c r="I443" s="71"/>
    </row>
    <row r="444" spans="1:9">
      <c r="A444" s="65" t="s">
        <v>870</v>
      </c>
      <c r="B444" s="189" t="s">
        <v>832</v>
      </c>
      <c r="C444" s="189"/>
      <c r="D444" s="68" t="s">
        <v>1139</v>
      </c>
      <c r="E444" s="69">
        <v>59</v>
      </c>
      <c r="F444" s="70">
        <v>140</v>
      </c>
      <c r="G444" s="70">
        <f t="shared" ref="G444:G460" si="9">E444*F444</f>
        <v>8260</v>
      </c>
      <c r="H444" s="81"/>
      <c r="I444" s="71"/>
    </row>
    <row r="445" spans="1:9">
      <c r="A445" s="65" t="s">
        <v>871</v>
      </c>
      <c r="B445" s="189" t="s">
        <v>833</v>
      </c>
      <c r="C445" s="189"/>
      <c r="D445" s="68" t="s">
        <v>1139</v>
      </c>
      <c r="E445" s="69">
        <v>36</v>
      </c>
      <c r="F445" s="70">
        <v>68.2</v>
      </c>
      <c r="G445" s="70">
        <f t="shared" si="9"/>
        <v>2455.1999999999998</v>
      </c>
      <c r="H445" s="81"/>
      <c r="I445" s="71"/>
    </row>
    <row r="446" spans="1:9">
      <c r="A446" s="65" t="s">
        <v>872</v>
      </c>
      <c r="B446" s="189" t="s">
        <v>834</v>
      </c>
      <c r="C446" s="189"/>
      <c r="D446" s="68" t="s">
        <v>1139</v>
      </c>
      <c r="E446" s="69">
        <v>6</v>
      </c>
      <c r="F446" s="70">
        <v>72</v>
      </c>
      <c r="G446" s="70">
        <f t="shared" si="9"/>
        <v>432</v>
      </c>
      <c r="H446" s="81"/>
      <c r="I446" s="71"/>
    </row>
    <row r="447" spans="1:9">
      <c r="A447" s="65" t="s">
        <v>873</v>
      </c>
      <c r="B447" s="189" t="s">
        <v>835</v>
      </c>
      <c r="C447" s="189"/>
      <c r="D447" s="68" t="s">
        <v>1139</v>
      </c>
      <c r="E447" s="69">
        <v>19</v>
      </c>
      <c r="F447" s="70">
        <v>120</v>
      </c>
      <c r="G447" s="70">
        <f t="shared" si="9"/>
        <v>2280</v>
      </c>
      <c r="H447" s="81"/>
      <c r="I447" s="71"/>
    </row>
    <row r="448" spans="1:9">
      <c r="A448" s="65" t="s">
        <v>874</v>
      </c>
      <c r="B448" s="189" t="s">
        <v>836</v>
      </c>
      <c r="C448" s="189"/>
      <c r="D448" s="68" t="s">
        <v>755</v>
      </c>
      <c r="E448" s="69">
        <v>10.5</v>
      </c>
      <c r="F448" s="70">
        <v>18.2</v>
      </c>
      <c r="G448" s="70">
        <f t="shared" si="9"/>
        <v>191.1</v>
      </c>
      <c r="H448" s="81"/>
      <c r="I448" s="71"/>
    </row>
    <row r="449" spans="1:9">
      <c r="A449" s="65" t="s">
        <v>875</v>
      </c>
      <c r="B449" s="189" t="s">
        <v>837</v>
      </c>
      <c r="C449" s="189"/>
      <c r="D449" s="68" t="s">
        <v>1139</v>
      </c>
      <c r="E449" s="69">
        <v>7</v>
      </c>
      <c r="F449" s="70">
        <v>15.1</v>
      </c>
      <c r="G449" s="70">
        <f t="shared" si="9"/>
        <v>105.7</v>
      </c>
      <c r="H449" s="81"/>
      <c r="I449" s="71"/>
    </row>
    <row r="450" spans="1:9">
      <c r="A450" s="65" t="s">
        <v>876</v>
      </c>
      <c r="B450" s="189" t="s">
        <v>838</v>
      </c>
      <c r="C450" s="189"/>
      <c r="D450" s="68" t="s">
        <v>1139</v>
      </c>
      <c r="E450" s="69">
        <v>30</v>
      </c>
      <c r="F450" s="70">
        <v>22</v>
      </c>
      <c r="G450" s="70">
        <f t="shared" si="9"/>
        <v>660</v>
      </c>
      <c r="H450" s="81"/>
      <c r="I450" s="71"/>
    </row>
    <row r="451" spans="1:9">
      <c r="A451" s="65" t="s">
        <v>877</v>
      </c>
      <c r="B451" s="189" t="s">
        <v>839</v>
      </c>
      <c r="C451" s="189"/>
      <c r="D451" s="68" t="s">
        <v>1139</v>
      </c>
      <c r="E451" s="69">
        <v>6</v>
      </c>
      <c r="F451" s="70">
        <v>90</v>
      </c>
      <c r="G451" s="70">
        <f t="shared" si="9"/>
        <v>540</v>
      </c>
      <c r="H451" s="81"/>
      <c r="I451" s="71"/>
    </row>
    <row r="452" spans="1:9">
      <c r="A452" s="65" t="s">
        <v>878</v>
      </c>
      <c r="B452" s="189" t="s">
        <v>793</v>
      </c>
      <c r="C452" s="189"/>
      <c r="D452" s="68" t="s">
        <v>755</v>
      </c>
      <c r="E452" s="69">
        <v>35</v>
      </c>
      <c r="F452" s="70">
        <v>71</v>
      </c>
      <c r="G452" s="70">
        <f t="shared" si="9"/>
        <v>2485</v>
      </c>
      <c r="H452" s="81"/>
      <c r="I452" s="71"/>
    </row>
    <row r="453" spans="1:9">
      <c r="A453" s="65" t="s">
        <v>879</v>
      </c>
      <c r="B453" s="189" t="s">
        <v>840</v>
      </c>
      <c r="C453" s="189"/>
      <c r="D453" s="68" t="s">
        <v>755</v>
      </c>
      <c r="E453" s="69">
        <v>45</v>
      </c>
      <c r="F453" s="70">
        <v>2.52</v>
      </c>
      <c r="G453" s="70">
        <f t="shared" si="9"/>
        <v>113.4</v>
      </c>
      <c r="H453" s="81"/>
      <c r="I453" s="71"/>
    </row>
    <row r="454" spans="1:9">
      <c r="A454" s="65" t="s">
        <v>880</v>
      </c>
      <c r="B454" s="189" t="s">
        <v>841</v>
      </c>
      <c r="C454" s="189"/>
      <c r="D454" s="68" t="s">
        <v>755</v>
      </c>
      <c r="E454" s="69">
        <v>45</v>
      </c>
      <c r="F454" s="70">
        <v>2.16</v>
      </c>
      <c r="G454" s="70">
        <f t="shared" si="9"/>
        <v>97.2</v>
      </c>
      <c r="H454" s="81"/>
      <c r="I454" s="71"/>
    </row>
    <row r="455" spans="1:9">
      <c r="A455" s="65" t="s">
        <v>268</v>
      </c>
      <c r="B455" s="189" t="s">
        <v>842</v>
      </c>
      <c r="C455" s="189"/>
      <c r="D455" s="68" t="s">
        <v>755</v>
      </c>
      <c r="E455" s="69">
        <v>45</v>
      </c>
      <c r="F455" s="70">
        <v>0.87</v>
      </c>
      <c r="G455" s="70">
        <f t="shared" si="9"/>
        <v>39.15</v>
      </c>
      <c r="H455" s="81"/>
      <c r="I455" s="71"/>
    </row>
    <row r="456" spans="1:9">
      <c r="A456" s="65" t="s">
        <v>269</v>
      </c>
      <c r="B456" s="189" t="s">
        <v>794</v>
      </c>
      <c r="C456" s="189"/>
      <c r="D456" s="68" t="s">
        <v>755</v>
      </c>
      <c r="E456" s="69">
        <v>792</v>
      </c>
      <c r="F456" s="70">
        <v>2.8</v>
      </c>
      <c r="G456" s="70">
        <f t="shared" si="9"/>
        <v>2217.6</v>
      </c>
      <c r="H456" s="81"/>
      <c r="I456" s="71"/>
    </row>
    <row r="457" spans="1:9">
      <c r="A457" s="65" t="s">
        <v>908</v>
      </c>
      <c r="B457" s="189" t="s">
        <v>795</v>
      </c>
      <c r="C457" s="189"/>
      <c r="D457" s="68" t="s">
        <v>1139</v>
      </c>
      <c r="E457" s="69">
        <v>106</v>
      </c>
      <c r="F457" s="70">
        <v>6.34</v>
      </c>
      <c r="G457" s="70">
        <f t="shared" si="9"/>
        <v>672.04</v>
      </c>
      <c r="H457" s="81"/>
      <c r="I457" s="71"/>
    </row>
    <row r="458" spans="1:9">
      <c r="A458" s="65" t="s">
        <v>909</v>
      </c>
      <c r="B458" s="189" t="s">
        <v>796</v>
      </c>
      <c r="C458" s="189"/>
      <c r="D458" s="68" t="s">
        <v>1139</v>
      </c>
      <c r="E458" s="69">
        <v>11</v>
      </c>
      <c r="F458" s="70">
        <v>57.74</v>
      </c>
      <c r="G458" s="70">
        <f t="shared" si="9"/>
        <v>635.14</v>
      </c>
      <c r="H458" s="81"/>
      <c r="I458" s="71"/>
    </row>
    <row r="459" spans="1:9">
      <c r="A459" s="65" t="s">
        <v>910</v>
      </c>
      <c r="B459" s="189" t="s">
        <v>912</v>
      </c>
      <c r="C459" s="189"/>
      <c r="D459" s="68" t="s">
        <v>1139</v>
      </c>
      <c r="E459" s="69">
        <v>1</v>
      </c>
      <c r="F459" s="70">
        <v>289.8</v>
      </c>
      <c r="G459" s="70">
        <f t="shared" si="9"/>
        <v>289.8</v>
      </c>
      <c r="H459" s="81"/>
      <c r="I459" s="71"/>
    </row>
    <row r="460" spans="1:9">
      <c r="A460" s="65" t="s">
        <v>911</v>
      </c>
      <c r="B460" s="189" t="s">
        <v>797</v>
      </c>
      <c r="C460" s="189"/>
      <c r="D460" s="68" t="s">
        <v>1139</v>
      </c>
      <c r="E460" s="69">
        <v>1</v>
      </c>
      <c r="F460" s="70">
        <v>1830.4</v>
      </c>
      <c r="G460" s="70">
        <f t="shared" si="9"/>
        <v>1830.4</v>
      </c>
      <c r="H460" s="81"/>
      <c r="I460" s="71"/>
    </row>
    <row r="461" spans="1:9">
      <c r="A461" s="65"/>
      <c r="B461" s="190" t="s">
        <v>525</v>
      </c>
      <c r="C461" s="188"/>
      <c r="D461" s="68"/>
      <c r="E461" s="69"/>
      <c r="F461" s="70"/>
      <c r="G461" s="74">
        <f>SUM(G380:G460)</f>
        <v>108282.61</v>
      </c>
      <c r="H461" s="81"/>
      <c r="I461" s="71"/>
    </row>
    <row r="462" spans="1:9" ht="15">
      <c r="A462" s="65" t="s">
        <v>487</v>
      </c>
      <c r="B462" s="184" t="s">
        <v>122</v>
      </c>
      <c r="C462" s="184"/>
      <c r="D462" s="68"/>
      <c r="E462" s="69"/>
      <c r="F462" s="70"/>
      <c r="G462" s="70"/>
      <c r="H462" s="81"/>
      <c r="I462" s="71"/>
    </row>
    <row r="463" spans="1:9">
      <c r="A463" s="65" t="s">
        <v>80</v>
      </c>
      <c r="B463" s="189" t="s">
        <v>41</v>
      </c>
      <c r="C463" s="189"/>
      <c r="D463" s="68" t="s">
        <v>755</v>
      </c>
      <c r="E463" s="69">
        <v>230</v>
      </c>
      <c r="F463" s="70">
        <v>1.96</v>
      </c>
      <c r="G463" s="70">
        <f t="shared" ref="G463:G476" si="10">E463*F463</f>
        <v>450.8</v>
      </c>
      <c r="H463" s="81"/>
      <c r="I463" s="71"/>
    </row>
    <row r="464" spans="1:9">
      <c r="A464" s="65" t="s">
        <v>81</v>
      </c>
      <c r="B464" s="189" t="s">
        <v>42</v>
      </c>
      <c r="C464" s="189"/>
      <c r="D464" s="68" t="s">
        <v>755</v>
      </c>
      <c r="E464" s="69">
        <v>250</v>
      </c>
      <c r="F464" s="70">
        <v>2.25</v>
      </c>
      <c r="G464" s="70">
        <f t="shared" si="10"/>
        <v>562.5</v>
      </c>
      <c r="H464" s="81"/>
      <c r="I464" s="71"/>
    </row>
    <row r="465" spans="1:9">
      <c r="A465" s="65" t="s">
        <v>82</v>
      </c>
      <c r="B465" s="189" t="s">
        <v>43</v>
      </c>
      <c r="C465" s="189"/>
      <c r="D465" s="68" t="s">
        <v>755</v>
      </c>
      <c r="E465" s="69">
        <v>60</v>
      </c>
      <c r="F465" s="70">
        <v>3.2</v>
      </c>
      <c r="G465" s="70">
        <f t="shared" si="10"/>
        <v>192</v>
      </c>
      <c r="H465" s="81"/>
      <c r="I465" s="71"/>
    </row>
    <row r="466" spans="1:9">
      <c r="A466" s="65" t="s">
        <v>83</v>
      </c>
      <c r="B466" s="189" t="s">
        <v>44</v>
      </c>
      <c r="C466" s="189"/>
      <c r="D466" s="68" t="s">
        <v>1139</v>
      </c>
      <c r="E466" s="69">
        <v>1</v>
      </c>
      <c r="F466" s="70">
        <v>1200</v>
      </c>
      <c r="G466" s="70">
        <f t="shared" si="10"/>
        <v>1200</v>
      </c>
      <c r="H466" s="81"/>
      <c r="I466" s="71"/>
    </row>
    <row r="467" spans="1:9">
      <c r="A467" s="65" t="s">
        <v>84</v>
      </c>
      <c r="B467" s="189" t="s">
        <v>45</v>
      </c>
      <c r="C467" s="189"/>
      <c r="D467" s="68" t="s">
        <v>177</v>
      </c>
      <c r="E467" s="69">
        <v>18</v>
      </c>
      <c r="F467" s="70">
        <v>17.2</v>
      </c>
      <c r="G467" s="70">
        <f t="shared" si="10"/>
        <v>309.60000000000002</v>
      </c>
      <c r="H467" s="81"/>
      <c r="I467" s="71"/>
    </row>
    <row r="468" spans="1:9">
      <c r="A468" s="65" t="s">
        <v>85</v>
      </c>
      <c r="B468" s="189" t="s">
        <v>46</v>
      </c>
      <c r="C468" s="189"/>
      <c r="D468" s="68" t="s">
        <v>1139</v>
      </c>
      <c r="E468" s="69">
        <v>19</v>
      </c>
      <c r="F468" s="70">
        <v>2.15</v>
      </c>
      <c r="G468" s="70">
        <f t="shared" si="10"/>
        <v>40.85</v>
      </c>
      <c r="H468" s="81"/>
      <c r="I468" s="71"/>
    </row>
    <row r="469" spans="1:9">
      <c r="A469" s="65" t="s">
        <v>86</v>
      </c>
      <c r="B469" s="189" t="s">
        <v>47</v>
      </c>
      <c r="C469" s="189"/>
      <c r="D469" s="68" t="s">
        <v>1139</v>
      </c>
      <c r="E469" s="69">
        <v>1</v>
      </c>
      <c r="F469" s="70">
        <v>3400</v>
      </c>
      <c r="G469" s="70">
        <f t="shared" si="10"/>
        <v>3400</v>
      </c>
      <c r="H469" s="81"/>
      <c r="I469" s="71"/>
    </row>
    <row r="470" spans="1:9">
      <c r="A470" s="65" t="s">
        <v>87</v>
      </c>
      <c r="B470" s="189" t="s">
        <v>48</v>
      </c>
      <c r="C470" s="189"/>
      <c r="D470" s="68" t="s">
        <v>1139</v>
      </c>
      <c r="E470" s="69">
        <v>1</v>
      </c>
      <c r="F470" s="70">
        <v>77</v>
      </c>
      <c r="G470" s="70">
        <f t="shared" si="10"/>
        <v>77</v>
      </c>
      <c r="H470" s="81"/>
      <c r="I470" s="71"/>
    </row>
    <row r="471" spans="1:9">
      <c r="A471" s="65" t="s">
        <v>88</v>
      </c>
      <c r="B471" s="189" t="s">
        <v>49</v>
      </c>
      <c r="C471" s="189"/>
      <c r="D471" s="68" t="s">
        <v>755</v>
      </c>
      <c r="E471" s="69">
        <v>175</v>
      </c>
      <c r="F471" s="70">
        <v>3.48</v>
      </c>
      <c r="G471" s="70">
        <f t="shared" si="10"/>
        <v>609</v>
      </c>
      <c r="H471" s="81"/>
      <c r="I471" s="71"/>
    </row>
    <row r="472" spans="1:9">
      <c r="A472" s="65" t="s">
        <v>89</v>
      </c>
      <c r="B472" s="189" t="s">
        <v>50</v>
      </c>
      <c r="C472" s="189"/>
      <c r="D472" s="68" t="s">
        <v>755</v>
      </c>
      <c r="E472" s="69">
        <v>260</v>
      </c>
      <c r="F472" s="70">
        <v>2.3199999999999998</v>
      </c>
      <c r="G472" s="70">
        <f t="shared" si="10"/>
        <v>603.20000000000005</v>
      </c>
      <c r="H472" s="81"/>
      <c r="I472" s="71"/>
    </row>
    <row r="473" spans="1:9">
      <c r="A473" s="65" t="s">
        <v>90</v>
      </c>
      <c r="B473" s="189" t="s">
        <v>51</v>
      </c>
      <c r="C473" s="189"/>
      <c r="D473" s="68" t="s">
        <v>755</v>
      </c>
      <c r="E473" s="69">
        <v>625</v>
      </c>
      <c r="F473" s="70">
        <v>1.75</v>
      </c>
      <c r="G473" s="70">
        <f t="shared" si="10"/>
        <v>1093.75</v>
      </c>
      <c r="H473" s="81"/>
      <c r="I473" s="71"/>
    </row>
    <row r="474" spans="1:9">
      <c r="A474" s="65" t="s">
        <v>91</v>
      </c>
      <c r="B474" s="189" t="s">
        <v>52</v>
      </c>
      <c r="C474" s="189"/>
      <c r="D474" s="68" t="s">
        <v>1139</v>
      </c>
      <c r="E474" s="69">
        <v>9</v>
      </c>
      <c r="F474" s="70">
        <v>55.8</v>
      </c>
      <c r="G474" s="70">
        <f t="shared" si="10"/>
        <v>502.2</v>
      </c>
      <c r="H474" s="81"/>
      <c r="I474" s="71"/>
    </row>
    <row r="475" spans="1:9">
      <c r="A475" s="65" t="s">
        <v>92</v>
      </c>
      <c r="B475" s="189" t="s">
        <v>53</v>
      </c>
      <c r="C475" s="189"/>
      <c r="D475" s="68" t="s">
        <v>177</v>
      </c>
      <c r="E475" s="69">
        <v>9</v>
      </c>
      <c r="F475" s="70">
        <v>21.2</v>
      </c>
      <c r="G475" s="70">
        <f t="shared" si="10"/>
        <v>190.8</v>
      </c>
      <c r="H475" s="81"/>
      <c r="I475" s="71"/>
    </row>
    <row r="476" spans="1:9">
      <c r="A476" s="65" t="s">
        <v>93</v>
      </c>
      <c r="B476" s="189" t="s">
        <v>54</v>
      </c>
      <c r="C476" s="189"/>
      <c r="D476" s="68" t="s">
        <v>755</v>
      </c>
      <c r="E476" s="69">
        <v>120</v>
      </c>
      <c r="F476" s="70">
        <v>3.52</v>
      </c>
      <c r="G476" s="70">
        <f t="shared" si="10"/>
        <v>422.4</v>
      </c>
      <c r="H476" s="81"/>
      <c r="I476" s="71"/>
    </row>
    <row r="477" spans="1:9">
      <c r="A477" s="65"/>
      <c r="B477" s="190" t="s">
        <v>525</v>
      </c>
      <c r="C477" s="188"/>
      <c r="D477" s="68"/>
      <c r="E477" s="69"/>
      <c r="F477" s="70"/>
      <c r="G477" s="74">
        <f>SUM(G463:G476)</f>
        <v>9654.1</v>
      </c>
      <c r="H477" s="81"/>
      <c r="I477" s="71"/>
    </row>
    <row r="478" spans="1:9" ht="15">
      <c r="A478" s="65" t="s">
        <v>176</v>
      </c>
      <c r="B478" s="185" t="s">
        <v>123</v>
      </c>
      <c r="C478" s="186"/>
      <c r="D478" s="68"/>
      <c r="E478" s="69"/>
      <c r="F478" s="70"/>
      <c r="G478" s="70"/>
      <c r="H478" s="81"/>
      <c r="I478" s="71"/>
    </row>
    <row r="479" spans="1:9">
      <c r="A479" s="65" t="s">
        <v>94</v>
      </c>
      <c r="B479" s="189" t="s">
        <v>42</v>
      </c>
      <c r="C479" s="189"/>
      <c r="D479" s="68" t="s">
        <v>755</v>
      </c>
      <c r="E479" s="69">
        <v>360</v>
      </c>
      <c r="F479" s="70">
        <v>2.25</v>
      </c>
      <c r="G479" s="70">
        <f t="shared" ref="G479:G487" si="11">E479*F479</f>
        <v>810</v>
      </c>
      <c r="H479" s="81"/>
      <c r="I479" s="71"/>
    </row>
    <row r="480" spans="1:9">
      <c r="A480" s="65" t="s">
        <v>95</v>
      </c>
      <c r="B480" s="189" t="s">
        <v>43</v>
      </c>
      <c r="C480" s="189"/>
      <c r="D480" s="68" t="s">
        <v>755</v>
      </c>
      <c r="E480" s="69">
        <v>120</v>
      </c>
      <c r="F480" s="70">
        <v>4.33</v>
      </c>
      <c r="G480" s="70">
        <f t="shared" si="11"/>
        <v>519.6</v>
      </c>
      <c r="H480" s="81"/>
      <c r="I480" s="71"/>
    </row>
    <row r="481" spans="1:9">
      <c r="A481" s="65" t="s">
        <v>96</v>
      </c>
      <c r="B481" s="189" t="s">
        <v>46</v>
      </c>
      <c r="C481" s="189"/>
      <c r="D481" s="68" t="s">
        <v>1139</v>
      </c>
      <c r="E481" s="69">
        <v>42</v>
      </c>
      <c r="F481" s="70">
        <v>2.15</v>
      </c>
      <c r="G481" s="70">
        <f t="shared" si="11"/>
        <v>90.3</v>
      </c>
      <c r="H481" s="81"/>
      <c r="I481" s="71"/>
    </row>
    <row r="482" spans="1:9">
      <c r="A482" s="65" t="s">
        <v>718</v>
      </c>
      <c r="B482" s="189" t="s">
        <v>55</v>
      </c>
      <c r="C482" s="189"/>
      <c r="D482" s="68" t="s">
        <v>1139</v>
      </c>
      <c r="E482" s="69">
        <v>42</v>
      </c>
      <c r="F482" s="70">
        <v>18.2</v>
      </c>
      <c r="G482" s="70">
        <f t="shared" si="11"/>
        <v>764.4</v>
      </c>
      <c r="H482" s="81"/>
      <c r="I482" s="71"/>
    </row>
    <row r="483" spans="1:9">
      <c r="A483" s="65" t="s">
        <v>719</v>
      </c>
      <c r="B483" s="189" t="s">
        <v>56</v>
      </c>
      <c r="C483" s="189"/>
      <c r="D483" s="68" t="s">
        <v>755</v>
      </c>
      <c r="E483" s="69">
        <v>1230</v>
      </c>
      <c r="F483" s="70">
        <v>2.25</v>
      </c>
      <c r="G483" s="70">
        <f t="shared" si="11"/>
        <v>2767.5</v>
      </c>
      <c r="H483" s="81"/>
      <c r="I483" s="71"/>
    </row>
    <row r="484" spans="1:9">
      <c r="A484" s="65" t="s">
        <v>720</v>
      </c>
      <c r="B484" s="189" t="s">
        <v>924</v>
      </c>
      <c r="C484" s="189"/>
      <c r="D484" s="68" t="s">
        <v>1139</v>
      </c>
      <c r="E484" s="69">
        <v>1</v>
      </c>
      <c r="F484" s="70">
        <v>55</v>
      </c>
      <c r="G484" s="70">
        <f t="shared" si="11"/>
        <v>55</v>
      </c>
      <c r="H484" s="81"/>
      <c r="I484" s="71"/>
    </row>
    <row r="485" spans="1:9">
      <c r="A485" s="65" t="s">
        <v>721</v>
      </c>
      <c r="B485" s="189" t="s">
        <v>57</v>
      </c>
      <c r="C485" s="189"/>
      <c r="D485" s="68" t="s">
        <v>1139</v>
      </c>
      <c r="E485" s="69">
        <v>42</v>
      </c>
      <c r="F485" s="70">
        <v>3.3</v>
      </c>
      <c r="G485" s="70">
        <f t="shared" si="11"/>
        <v>138.6</v>
      </c>
      <c r="H485" s="81"/>
      <c r="I485" s="71"/>
    </row>
    <row r="486" spans="1:9">
      <c r="A486" s="65" t="s">
        <v>722</v>
      </c>
      <c r="B486" s="189" t="s">
        <v>814</v>
      </c>
      <c r="C486" s="189"/>
      <c r="D486" s="68" t="s">
        <v>1139</v>
      </c>
      <c r="E486" s="69">
        <v>9</v>
      </c>
      <c r="F486" s="70">
        <v>36.24</v>
      </c>
      <c r="G486" s="70">
        <f t="shared" si="11"/>
        <v>326.16000000000003</v>
      </c>
      <c r="H486" s="81"/>
      <c r="I486" s="71"/>
    </row>
    <row r="487" spans="1:9">
      <c r="A487" s="65" t="s">
        <v>969</v>
      </c>
      <c r="B487" s="189" t="s">
        <v>153</v>
      </c>
      <c r="C487" s="189"/>
      <c r="D487" s="68" t="s">
        <v>1139</v>
      </c>
      <c r="E487" s="69">
        <v>1</v>
      </c>
      <c r="F487" s="70">
        <v>6100</v>
      </c>
      <c r="G487" s="70">
        <f t="shared" si="11"/>
        <v>6100</v>
      </c>
      <c r="H487" s="81"/>
      <c r="I487" s="71"/>
    </row>
    <row r="488" spans="1:9">
      <c r="A488" s="65"/>
      <c r="B488" s="190" t="s">
        <v>525</v>
      </c>
      <c r="C488" s="188"/>
      <c r="D488" s="68"/>
      <c r="E488" s="69"/>
      <c r="F488" s="70"/>
      <c r="G488" s="74">
        <f>SUM(G479:G487)</f>
        <v>11571.56</v>
      </c>
      <c r="H488" s="100">
        <f>G489/H643</f>
        <v>4.3900000000000002E-2</v>
      </c>
      <c r="I488" s="101"/>
    </row>
    <row r="489" spans="1:9">
      <c r="A489" s="102"/>
      <c r="B489" s="191" t="s">
        <v>108</v>
      </c>
      <c r="C489" s="192"/>
      <c r="D489" s="82"/>
      <c r="E489" s="83"/>
      <c r="F489" s="84"/>
      <c r="G489" s="84">
        <f>SUM(G488+G477+G461+G378)</f>
        <v>138282.59</v>
      </c>
      <c r="H489" s="84">
        <f>G489*1</f>
        <v>138282.59</v>
      </c>
      <c r="I489" s="103"/>
    </row>
    <row r="490" spans="1:9" s="21" customFormat="1" ht="15">
      <c r="A490" s="65" t="s">
        <v>983</v>
      </c>
      <c r="B490" s="184" t="s">
        <v>984</v>
      </c>
      <c r="C490" s="184"/>
      <c r="D490" s="68" t="s">
        <v>761</v>
      </c>
      <c r="E490" s="69"/>
      <c r="F490" s="70"/>
      <c r="G490" s="70"/>
    </row>
    <row r="491" spans="1:9" ht="15">
      <c r="A491" s="65" t="s">
        <v>985</v>
      </c>
      <c r="B491" s="184" t="s">
        <v>124</v>
      </c>
      <c r="C491" s="184"/>
      <c r="D491" s="68" t="s">
        <v>761</v>
      </c>
      <c r="E491" s="69"/>
      <c r="F491" s="70"/>
      <c r="G491" s="70"/>
      <c r="H491" s="81">
        <v>0</v>
      </c>
      <c r="I491" s="71"/>
    </row>
    <row r="492" spans="1:9" ht="15">
      <c r="A492" s="65" t="s">
        <v>195</v>
      </c>
      <c r="B492" s="184" t="s">
        <v>1034</v>
      </c>
      <c r="C492" s="184"/>
      <c r="D492" s="68"/>
      <c r="E492" s="69"/>
      <c r="F492" s="70"/>
      <c r="G492" s="70"/>
      <c r="H492" s="81">
        <v>0</v>
      </c>
      <c r="I492" s="71"/>
    </row>
    <row r="493" spans="1:9">
      <c r="A493" s="65" t="s">
        <v>632</v>
      </c>
      <c r="B493" s="189" t="s">
        <v>934</v>
      </c>
      <c r="C493" s="189"/>
      <c r="D493" s="68" t="s">
        <v>1010</v>
      </c>
      <c r="E493" s="69">
        <v>1</v>
      </c>
      <c r="F493" s="70">
        <v>14900</v>
      </c>
      <c r="G493" s="70">
        <f t="shared" ref="G493:G554" si="12">E493*F493</f>
        <v>14900</v>
      </c>
      <c r="H493" s="81">
        <v>0</v>
      </c>
      <c r="I493" s="71"/>
    </row>
    <row r="494" spans="1:9">
      <c r="A494" s="65" t="s">
        <v>633</v>
      </c>
      <c r="B494" s="189" t="s">
        <v>935</v>
      </c>
      <c r="C494" s="189"/>
      <c r="D494" s="68" t="s">
        <v>1010</v>
      </c>
      <c r="E494" s="69">
        <v>10</v>
      </c>
      <c r="F494" s="70">
        <v>1450</v>
      </c>
      <c r="G494" s="70">
        <f t="shared" si="12"/>
        <v>14500</v>
      </c>
      <c r="H494" s="81"/>
      <c r="I494" s="71"/>
    </row>
    <row r="495" spans="1:9">
      <c r="A495" s="65" t="s">
        <v>634</v>
      </c>
      <c r="B495" s="189" t="s">
        <v>1011</v>
      </c>
      <c r="C495" s="189"/>
      <c r="D495" s="68" t="s">
        <v>1010</v>
      </c>
      <c r="E495" s="69">
        <v>10</v>
      </c>
      <c r="F495" s="70">
        <v>21.5</v>
      </c>
      <c r="G495" s="70">
        <f t="shared" si="12"/>
        <v>215</v>
      </c>
      <c r="H495" s="81"/>
      <c r="I495" s="71"/>
    </row>
    <row r="496" spans="1:9">
      <c r="A496" s="65" t="s">
        <v>635</v>
      </c>
      <c r="B496" s="189" t="s">
        <v>1012</v>
      </c>
      <c r="C496" s="189"/>
      <c r="D496" s="68" t="s">
        <v>1010</v>
      </c>
      <c r="E496" s="69">
        <v>1</v>
      </c>
      <c r="F496" s="70">
        <v>450</v>
      </c>
      <c r="G496" s="70">
        <f t="shared" si="12"/>
        <v>450</v>
      </c>
      <c r="H496" s="81"/>
      <c r="I496" s="71"/>
    </row>
    <row r="497" spans="1:9">
      <c r="A497" s="65" t="s">
        <v>636</v>
      </c>
      <c r="B497" s="189" t="s">
        <v>1013</v>
      </c>
      <c r="C497" s="189"/>
      <c r="D497" s="68" t="s">
        <v>1014</v>
      </c>
      <c r="E497" s="69">
        <v>9</v>
      </c>
      <c r="F497" s="70">
        <v>34</v>
      </c>
      <c r="G497" s="70">
        <f t="shared" si="12"/>
        <v>306</v>
      </c>
      <c r="H497" s="81"/>
      <c r="I497" s="71"/>
    </row>
    <row r="498" spans="1:9">
      <c r="A498" s="65" t="s">
        <v>637</v>
      </c>
      <c r="B498" s="189" t="s">
        <v>936</v>
      </c>
      <c r="C498" s="189"/>
      <c r="D498" s="68" t="s">
        <v>1010</v>
      </c>
      <c r="E498" s="69">
        <v>3</v>
      </c>
      <c r="F498" s="70">
        <v>5.4</v>
      </c>
      <c r="G498" s="70">
        <f t="shared" si="12"/>
        <v>16.2</v>
      </c>
      <c r="H498" s="81"/>
      <c r="I498" s="71"/>
    </row>
    <row r="499" spans="1:9">
      <c r="A499" s="65" t="s">
        <v>638</v>
      </c>
      <c r="B499" s="189" t="s">
        <v>1015</v>
      </c>
      <c r="C499" s="189"/>
      <c r="D499" s="68" t="s">
        <v>489</v>
      </c>
      <c r="E499" s="69">
        <v>3</v>
      </c>
      <c r="F499" s="70">
        <v>6.4</v>
      </c>
      <c r="G499" s="70">
        <f t="shared" si="12"/>
        <v>19.2</v>
      </c>
      <c r="H499" s="81"/>
      <c r="I499" s="71"/>
    </row>
    <row r="500" spans="1:9">
      <c r="A500" s="65" t="s">
        <v>639</v>
      </c>
      <c r="B500" s="189" t="s">
        <v>937</v>
      </c>
      <c r="C500" s="189"/>
      <c r="D500" s="68" t="s">
        <v>1010</v>
      </c>
      <c r="E500" s="69">
        <v>7</v>
      </c>
      <c r="F500" s="70">
        <v>7.8</v>
      </c>
      <c r="G500" s="70">
        <f t="shared" si="12"/>
        <v>54.6</v>
      </c>
      <c r="H500" s="81"/>
      <c r="I500" s="71"/>
    </row>
    <row r="501" spans="1:9">
      <c r="A501" s="65" t="s">
        <v>640</v>
      </c>
      <c r="B501" s="189" t="s">
        <v>938</v>
      </c>
      <c r="C501" s="189"/>
      <c r="D501" s="68" t="s">
        <v>1010</v>
      </c>
      <c r="E501" s="69">
        <v>1</v>
      </c>
      <c r="F501" s="70">
        <v>7.8</v>
      </c>
      <c r="G501" s="70">
        <f t="shared" si="12"/>
        <v>7.8</v>
      </c>
      <c r="H501" s="81"/>
      <c r="I501" s="71"/>
    </row>
    <row r="502" spans="1:9">
      <c r="A502" s="65" t="s">
        <v>641</v>
      </c>
      <c r="B502" s="189" t="s">
        <v>1016</v>
      </c>
      <c r="C502" s="189"/>
      <c r="D502" s="68" t="s">
        <v>1017</v>
      </c>
      <c r="E502" s="69">
        <v>2</v>
      </c>
      <c r="F502" s="70">
        <v>112</v>
      </c>
      <c r="G502" s="70">
        <f t="shared" si="12"/>
        <v>224</v>
      </c>
      <c r="H502" s="81"/>
      <c r="I502" s="71"/>
    </row>
    <row r="503" spans="1:9">
      <c r="A503" s="65" t="s">
        <v>642</v>
      </c>
      <c r="B503" s="189" t="s">
        <v>1018</v>
      </c>
      <c r="C503" s="189"/>
      <c r="D503" s="68" t="s">
        <v>1017</v>
      </c>
      <c r="E503" s="69">
        <v>1</v>
      </c>
      <c r="F503" s="70">
        <v>300</v>
      </c>
      <c r="G503" s="70">
        <f t="shared" si="12"/>
        <v>300</v>
      </c>
      <c r="H503" s="81"/>
      <c r="I503" s="71"/>
    </row>
    <row r="504" spans="1:9">
      <c r="A504" s="65" t="s">
        <v>643</v>
      </c>
      <c r="B504" s="189" t="s">
        <v>391</v>
      </c>
      <c r="C504" s="189"/>
      <c r="D504" s="68" t="s">
        <v>177</v>
      </c>
      <c r="E504" s="69">
        <v>8</v>
      </c>
      <c r="F504" s="70">
        <v>179</v>
      </c>
      <c r="G504" s="70">
        <f t="shared" si="12"/>
        <v>1432</v>
      </c>
      <c r="H504" s="81"/>
      <c r="I504" s="71"/>
    </row>
    <row r="505" spans="1:9">
      <c r="A505" s="65" t="s">
        <v>644</v>
      </c>
      <c r="B505" s="189" t="s">
        <v>392</v>
      </c>
      <c r="C505" s="189"/>
      <c r="D505" s="68" t="s">
        <v>1010</v>
      </c>
      <c r="E505" s="69">
        <v>2</v>
      </c>
      <c r="F505" s="70">
        <v>257</v>
      </c>
      <c r="G505" s="70">
        <f t="shared" si="12"/>
        <v>514</v>
      </c>
      <c r="H505" s="81"/>
      <c r="I505" s="71"/>
    </row>
    <row r="506" spans="1:9">
      <c r="A506" s="65" t="s">
        <v>645</v>
      </c>
      <c r="B506" s="189" t="s">
        <v>499</v>
      </c>
      <c r="C506" s="189"/>
      <c r="D506" s="68" t="s">
        <v>1010</v>
      </c>
      <c r="E506" s="69">
        <v>1</v>
      </c>
      <c r="F506" s="70">
        <v>291</v>
      </c>
      <c r="G506" s="70">
        <f t="shared" si="12"/>
        <v>291</v>
      </c>
      <c r="H506" s="81"/>
      <c r="I506" s="71"/>
    </row>
    <row r="507" spans="1:9">
      <c r="A507" s="65" t="s">
        <v>646</v>
      </c>
      <c r="B507" s="189" t="s">
        <v>939</v>
      </c>
      <c r="C507" s="189"/>
      <c r="D507" s="68" t="s">
        <v>1010</v>
      </c>
      <c r="E507" s="69">
        <v>1</v>
      </c>
      <c r="F507" s="70">
        <v>572</v>
      </c>
      <c r="G507" s="70">
        <f t="shared" si="12"/>
        <v>572</v>
      </c>
      <c r="H507" s="81"/>
      <c r="I507" s="71"/>
    </row>
    <row r="508" spans="1:9">
      <c r="A508" s="65" t="s">
        <v>647</v>
      </c>
      <c r="B508" s="189" t="s">
        <v>500</v>
      </c>
      <c r="C508" s="189"/>
      <c r="D508" s="68" t="s">
        <v>501</v>
      </c>
      <c r="E508" s="69">
        <v>402</v>
      </c>
      <c r="F508" s="70">
        <v>5.22</v>
      </c>
      <c r="G508" s="70">
        <f t="shared" si="12"/>
        <v>2098.44</v>
      </c>
      <c r="H508" s="81"/>
      <c r="I508" s="71"/>
    </row>
    <row r="509" spans="1:9">
      <c r="A509" s="65" t="s">
        <v>648</v>
      </c>
      <c r="B509" s="189" t="s">
        <v>502</v>
      </c>
      <c r="C509" s="189"/>
      <c r="D509" s="68" t="s">
        <v>501</v>
      </c>
      <c r="E509" s="69">
        <v>320</v>
      </c>
      <c r="F509" s="70">
        <v>4.71</v>
      </c>
      <c r="G509" s="70">
        <f t="shared" si="12"/>
        <v>1507.2</v>
      </c>
      <c r="H509" s="81"/>
      <c r="I509" s="71"/>
    </row>
    <row r="510" spans="1:9">
      <c r="A510" s="65" t="s">
        <v>649</v>
      </c>
      <c r="B510" s="189" t="s">
        <v>503</v>
      </c>
      <c r="C510" s="189"/>
      <c r="D510" s="68" t="s">
        <v>501</v>
      </c>
      <c r="E510" s="69">
        <v>190</v>
      </c>
      <c r="F510" s="70">
        <v>4.62</v>
      </c>
      <c r="G510" s="70">
        <f t="shared" si="12"/>
        <v>877.8</v>
      </c>
      <c r="H510" s="81"/>
      <c r="I510" s="71"/>
    </row>
    <row r="511" spans="1:9">
      <c r="A511" s="65" t="s">
        <v>650</v>
      </c>
      <c r="B511" s="189" t="s">
        <v>504</v>
      </c>
      <c r="C511" s="189"/>
      <c r="D511" s="68" t="s">
        <v>752</v>
      </c>
      <c r="E511" s="69">
        <v>132</v>
      </c>
      <c r="F511" s="70">
        <v>12</v>
      </c>
      <c r="G511" s="70">
        <f t="shared" si="12"/>
        <v>1584</v>
      </c>
      <c r="H511" s="81"/>
      <c r="I511" s="71"/>
    </row>
    <row r="512" spans="1:9">
      <c r="A512" s="65" t="s">
        <v>651</v>
      </c>
      <c r="B512" s="189" t="s">
        <v>505</v>
      </c>
      <c r="C512" s="189"/>
      <c r="D512" s="68" t="s">
        <v>1010</v>
      </c>
      <c r="E512" s="69">
        <v>20</v>
      </c>
      <c r="F512" s="70">
        <v>6</v>
      </c>
      <c r="G512" s="70">
        <f t="shared" si="12"/>
        <v>120</v>
      </c>
      <c r="H512" s="81"/>
      <c r="I512" s="71"/>
    </row>
    <row r="513" spans="1:9">
      <c r="A513" s="65" t="s">
        <v>652</v>
      </c>
      <c r="B513" s="189" t="s">
        <v>506</v>
      </c>
      <c r="C513" s="189"/>
      <c r="D513" s="68" t="s">
        <v>507</v>
      </c>
      <c r="E513" s="69">
        <v>2</v>
      </c>
      <c r="F513" s="70">
        <v>25</v>
      </c>
      <c r="G513" s="70">
        <f t="shared" si="12"/>
        <v>50</v>
      </c>
      <c r="H513" s="81"/>
      <c r="I513" s="71"/>
    </row>
    <row r="514" spans="1:9">
      <c r="A514" s="65" t="s">
        <v>653</v>
      </c>
      <c r="B514" s="189" t="s">
        <v>508</v>
      </c>
      <c r="C514" s="189"/>
      <c r="D514" s="68" t="s">
        <v>177</v>
      </c>
      <c r="E514" s="69">
        <v>4</v>
      </c>
      <c r="F514" s="70">
        <v>55</v>
      </c>
      <c r="G514" s="70">
        <f t="shared" si="12"/>
        <v>220</v>
      </c>
      <c r="H514" s="81"/>
      <c r="I514" s="71"/>
    </row>
    <row r="515" spans="1:9">
      <c r="A515" s="65" t="s">
        <v>654</v>
      </c>
      <c r="B515" s="189" t="s">
        <v>509</v>
      </c>
      <c r="C515" s="189"/>
      <c r="D515" s="68" t="s">
        <v>177</v>
      </c>
      <c r="E515" s="69">
        <v>100</v>
      </c>
      <c r="F515" s="70">
        <v>0.7</v>
      </c>
      <c r="G515" s="70">
        <f t="shared" si="12"/>
        <v>70</v>
      </c>
      <c r="H515" s="81"/>
      <c r="I515" s="71"/>
    </row>
    <row r="516" spans="1:9">
      <c r="A516" s="65" t="s">
        <v>655</v>
      </c>
      <c r="B516" s="189" t="s">
        <v>510</v>
      </c>
      <c r="C516" s="189"/>
      <c r="D516" s="68" t="s">
        <v>511</v>
      </c>
      <c r="E516" s="69">
        <v>2</v>
      </c>
      <c r="F516" s="70">
        <v>7</v>
      </c>
      <c r="G516" s="70">
        <f t="shared" si="12"/>
        <v>14</v>
      </c>
      <c r="H516" s="81"/>
      <c r="I516" s="71"/>
    </row>
    <row r="517" spans="1:9">
      <c r="A517" s="65" t="s">
        <v>656</v>
      </c>
      <c r="B517" s="189" t="s">
        <v>512</v>
      </c>
      <c r="C517" s="189"/>
      <c r="D517" s="68" t="s">
        <v>511</v>
      </c>
      <c r="E517" s="69">
        <v>1</v>
      </c>
      <c r="F517" s="70">
        <v>26.7</v>
      </c>
      <c r="G517" s="70">
        <f t="shared" si="12"/>
        <v>26.7</v>
      </c>
      <c r="H517" s="81"/>
      <c r="I517" s="71"/>
    </row>
    <row r="518" spans="1:9">
      <c r="A518" s="65" t="s">
        <v>657</v>
      </c>
      <c r="B518" s="189" t="s">
        <v>513</v>
      </c>
      <c r="C518" s="189"/>
      <c r="D518" s="68" t="s">
        <v>514</v>
      </c>
      <c r="E518" s="69">
        <v>5</v>
      </c>
      <c r="F518" s="70">
        <v>2.8</v>
      </c>
      <c r="G518" s="70">
        <f t="shared" si="12"/>
        <v>14</v>
      </c>
      <c r="H518" s="81"/>
      <c r="I518" s="71"/>
    </row>
    <row r="519" spans="1:9">
      <c r="A519" s="65" t="s">
        <v>658</v>
      </c>
      <c r="B519" s="189" t="s">
        <v>322</v>
      </c>
      <c r="C519" s="189"/>
      <c r="D519" s="68" t="s">
        <v>323</v>
      </c>
      <c r="E519" s="69">
        <v>1</v>
      </c>
      <c r="F519" s="70">
        <v>23</v>
      </c>
      <c r="G519" s="70">
        <f t="shared" si="12"/>
        <v>23</v>
      </c>
      <c r="H519" s="81"/>
      <c r="I519" s="71"/>
    </row>
    <row r="520" spans="1:9">
      <c r="A520" s="65" t="s">
        <v>659</v>
      </c>
      <c r="B520" s="189" t="s">
        <v>1140</v>
      </c>
      <c r="C520" s="189"/>
      <c r="D520" s="68" t="s">
        <v>323</v>
      </c>
      <c r="E520" s="69">
        <v>8</v>
      </c>
      <c r="F520" s="70">
        <v>17.8</v>
      </c>
      <c r="G520" s="70">
        <f t="shared" si="12"/>
        <v>142.4</v>
      </c>
      <c r="H520" s="81"/>
      <c r="I520" s="71"/>
    </row>
    <row r="521" spans="1:9">
      <c r="A521" s="65" t="s">
        <v>660</v>
      </c>
      <c r="B521" s="189" t="s">
        <v>1141</v>
      </c>
      <c r="C521" s="189"/>
      <c r="D521" s="68" t="s">
        <v>1142</v>
      </c>
      <c r="E521" s="69">
        <v>1</v>
      </c>
      <c r="F521" s="70">
        <v>40</v>
      </c>
      <c r="G521" s="70">
        <f t="shared" si="12"/>
        <v>40</v>
      </c>
      <c r="H521" s="81"/>
      <c r="I521" s="71"/>
    </row>
    <row r="522" spans="1:9">
      <c r="A522" s="65" t="s">
        <v>661</v>
      </c>
      <c r="B522" s="189" t="s">
        <v>940</v>
      </c>
      <c r="C522" s="189"/>
      <c r="D522" s="68" t="s">
        <v>757</v>
      </c>
      <c r="E522" s="69">
        <v>1</v>
      </c>
      <c r="F522" s="70">
        <v>300</v>
      </c>
      <c r="G522" s="70">
        <f t="shared" si="12"/>
        <v>300</v>
      </c>
      <c r="H522" s="81"/>
      <c r="I522" s="71"/>
    </row>
    <row r="523" spans="1:9">
      <c r="A523" s="65" t="s">
        <v>662</v>
      </c>
      <c r="B523" s="189" t="s">
        <v>1143</v>
      </c>
      <c r="C523" s="189"/>
      <c r="D523" s="68" t="s">
        <v>1010</v>
      </c>
      <c r="E523" s="69">
        <v>2</v>
      </c>
      <c r="F523" s="70">
        <v>45</v>
      </c>
      <c r="G523" s="70">
        <f t="shared" si="12"/>
        <v>90</v>
      </c>
      <c r="H523" s="81"/>
      <c r="I523" s="71"/>
    </row>
    <row r="524" spans="1:9">
      <c r="A524" s="65" t="s">
        <v>663</v>
      </c>
      <c r="B524" s="189" t="s">
        <v>1144</v>
      </c>
      <c r="C524" s="189"/>
      <c r="D524" s="68" t="s">
        <v>752</v>
      </c>
      <c r="E524" s="69">
        <v>36</v>
      </c>
      <c r="F524" s="70">
        <v>14</v>
      </c>
      <c r="G524" s="70">
        <f t="shared" si="12"/>
        <v>504</v>
      </c>
      <c r="H524" s="81"/>
      <c r="I524" s="71"/>
    </row>
    <row r="525" spans="1:9">
      <c r="A525" s="65" t="s">
        <v>664</v>
      </c>
      <c r="B525" s="189" t="s">
        <v>0</v>
      </c>
      <c r="C525" s="189"/>
      <c r="D525" s="68" t="s">
        <v>1</v>
      </c>
      <c r="E525" s="69">
        <v>2</v>
      </c>
      <c r="F525" s="70">
        <v>45</v>
      </c>
      <c r="G525" s="70">
        <f t="shared" si="12"/>
        <v>90</v>
      </c>
      <c r="H525" s="81"/>
      <c r="I525" s="71"/>
    </row>
    <row r="526" spans="1:9">
      <c r="A526" s="65" t="s">
        <v>665</v>
      </c>
      <c r="B526" s="189" t="s">
        <v>2</v>
      </c>
      <c r="C526" s="189"/>
      <c r="D526" s="68" t="s">
        <v>507</v>
      </c>
      <c r="E526" s="69">
        <v>500</v>
      </c>
      <c r="F526" s="70">
        <v>0.5</v>
      </c>
      <c r="G526" s="70">
        <f t="shared" si="12"/>
        <v>250</v>
      </c>
      <c r="H526" s="81"/>
      <c r="I526" s="71"/>
    </row>
    <row r="527" spans="1:9">
      <c r="A527" s="65" t="s">
        <v>666</v>
      </c>
      <c r="B527" s="189" t="s">
        <v>941</v>
      </c>
      <c r="C527" s="189"/>
      <c r="D527" s="68" t="s">
        <v>511</v>
      </c>
      <c r="E527" s="69">
        <v>2</v>
      </c>
      <c r="F527" s="70">
        <v>25</v>
      </c>
      <c r="G527" s="70">
        <f t="shared" si="12"/>
        <v>50</v>
      </c>
      <c r="H527" s="81"/>
      <c r="I527" s="71"/>
    </row>
    <row r="528" spans="1:9">
      <c r="A528" s="65" t="s">
        <v>667</v>
      </c>
      <c r="B528" s="189" t="s">
        <v>914</v>
      </c>
      <c r="C528" s="189"/>
      <c r="D528" s="68" t="s">
        <v>501</v>
      </c>
      <c r="E528" s="69">
        <v>3.6</v>
      </c>
      <c r="F528" s="70">
        <v>39</v>
      </c>
      <c r="G528" s="70">
        <f t="shared" si="12"/>
        <v>140.4</v>
      </c>
      <c r="H528" s="81"/>
      <c r="I528" s="71"/>
    </row>
    <row r="529" spans="1:9">
      <c r="A529" s="65" t="s">
        <v>668</v>
      </c>
      <c r="B529" s="189" t="s">
        <v>915</v>
      </c>
      <c r="C529" s="189"/>
      <c r="D529" s="68" t="s">
        <v>501</v>
      </c>
      <c r="E529" s="69">
        <v>4.5</v>
      </c>
      <c r="F529" s="70">
        <v>39</v>
      </c>
      <c r="G529" s="70">
        <f t="shared" si="12"/>
        <v>175.5</v>
      </c>
      <c r="H529" s="81"/>
      <c r="I529" s="71"/>
    </row>
    <row r="530" spans="1:9">
      <c r="A530" s="65" t="s">
        <v>669</v>
      </c>
      <c r="B530" s="189" t="s">
        <v>916</v>
      </c>
      <c r="C530" s="189"/>
      <c r="D530" s="68" t="s">
        <v>501</v>
      </c>
      <c r="E530" s="69">
        <v>5.2</v>
      </c>
      <c r="F530" s="70">
        <v>39</v>
      </c>
      <c r="G530" s="70">
        <f t="shared" si="12"/>
        <v>202.8</v>
      </c>
      <c r="H530" s="81"/>
      <c r="I530" s="71"/>
    </row>
    <row r="531" spans="1:9">
      <c r="A531" s="65" t="s">
        <v>670</v>
      </c>
      <c r="B531" s="189" t="s">
        <v>917</v>
      </c>
      <c r="C531" s="189"/>
      <c r="D531" s="68" t="s">
        <v>501</v>
      </c>
      <c r="E531" s="69">
        <v>6.8</v>
      </c>
      <c r="F531" s="70">
        <v>39</v>
      </c>
      <c r="G531" s="70">
        <f t="shared" si="12"/>
        <v>265.2</v>
      </c>
      <c r="H531" s="81"/>
      <c r="I531" s="71"/>
    </row>
    <row r="532" spans="1:9">
      <c r="A532" s="65" t="s">
        <v>671</v>
      </c>
      <c r="B532" s="189" t="s">
        <v>918</v>
      </c>
      <c r="C532" s="189"/>
      <c r="D532" s="68" t="s">
        <v>1010</v>
      </c>
      <c r="E532" s="69">
        <v>6</v>
      </c>
      <c r="F532" s="70">
        <v>2.4</v>
      </c>
      <c r="G532" s="70">
        <f t="shared" si="12"/>
        <v>14.4</v>
      </c>
      <c r="H532" s="81"/>
      <c r="I532" s="71"/>
    </row>
    <row r="533" spans="1:9">
      <c r="A533" s="65" t="s">
        <v>672</v>
      </c>
      <c r="B533" s="189" t="s">
        <v>919</v>
      </c>
      <c r="C533" s="189"/>
      <c r="D533" s="68" t="s">
        <v>1010</v>
      </c>
      <c r="E533" s="69">
        <v>6</v>
      </c>
      <c r="F533" s="70">
        <v>3.6</v>
      </c>
      <c r="G533" s="70">
        <f t="shared" si="12"/>
        <v>21.6</v>
      </c>
      <c r="H533" s="81"/>
      <c r="I533" s="71"/>
    </row>
    <row r="534" spans="1:9">
      <c r="A534" s="65" t="s">
        <v>673</v>
      </c>
      <c r="B534" s="189" t="s">
        <v>920</v>
      </c>
      <c r="C534" s="189"/>
      <c r="D534" s="68" t="s">
        <v>1010</v>
      </c>
      <c r="E534" s="69">
        <v>6</v>
      </c>
      <c r="F534" s="70">
        <v>6.2</v>
      </c>
      <c r="G534" s="70">
        <f t="shared" si="12"/>
        <v>37.200000000000003</v>
      </c>
      <c r="H534" s="81"/>
      <c r="I534" s="71"/>
    </row>
    <row r="535" spans="1:9">
      <c r="A535" s="65" t="s">
        <v>674</v>
      </c>
      <c r="B535" s="189" t="s">
        <v>921</v>
      </c>
      <c r="C535" s="189"/>
      <c r="D535" s="68" t="s">
        <v>1010</v>
      </c>
      <c r="E535" s="69">
        <v>6</v>
      </c>
      <c r="F535" s="70">
        <v>8.4</v>
      </c>
      <c r="G535" s="70">
        <f t="shared" si="12"/>
        <v>50.4</v>
      </c>
      <c r="H535" s="81"/>
      <c r="I535" s="71"/>
    </row>
    <row r="536" spans="1:9">
      <c r="A536" s="65" t="s">
        <v>675</v>
      </c>
      <c r="B536" s="189" t="s">
        <v>694</v>
      </c>
      <c r="C536" s="189"/>
      <c r="D536" s="68" t="s">
        <v>177</v>
      </c>
      <c r="E536" s="69">
        <v>4</v>
      </c>
      <c r="F536" s="70">
        <v>22</v>
      </c>
      <c r="G536" s="70">
        <f t="shared" si="12"/>
        <v>88</v>
      </c>
      <c r="H536" s="81"/>
      <c r="I536" s="71"/>
    </row>
    <row r="537" spans="1:9">
      <c r="A537" s="65" t="s">
        <v>676</v>
      </c>
      <c r="B537" s="189" t="s">
        <v>695</v>
      </c>
      <c r="C537" s="189"/>
      <c r="D537" s="68" t="s">
        <v>177</v>
      </c>
      <c r="E537" s="69">
        <v>2</v>
      </c>
      <c r="F537" s="70">
        <v>6.5</v>
      </c>
      <c r="G537" s="70">
        <f t="shared" si="12"/>
        <v>13</v>
      </c>
      <c r="H537" s="81"/>
      <c r="I537" s="71"/>
    </row>
    <row r="538" spans="1:9">
      <c r="A538" s="65" t="s">
        <v>677</v>
      </c>
      <c r="B538" s="189" t="s">
        <v>696</v>
      </c>
      <c r="C538" s="189"/>
      <c r="D538" s="68" t="s">
        <v>177</v>
      </c>
      <c r="E538" s="69">
        <v>2</v>
      </c>
      <c r="F538" s="70">
        <v>3.8</v>
      </c>
      <c r="G538" s="70">
        <f t="shared" si="12"/>
        <v>7.6</v>
      </c>
      <c r="H538" s="81"/>
      <c r="I538" s="71"/>
    </row>
    <row r="539" spans="1:9">
      <c r="A539" s="65" t="s">
        <v>678</v>
      </c>
      <c r="B539" s="189" t="s">
        <v>922</v>
      </c>
      <c r="C539" s="189"/>
      <c r="D539" s="68" t="s">
        <v>1010</v>
      </c>
      <c r="E539" s="69">
        <v>2</v>
      </c>
      <c r="F539" s="70">
        <v>32</v>
      </c>
      <c r="G539" s="70">
        <f t="shared" si="12"/>
        <v>64</v>
      </c>
      <c r="H539" s="81"/>
      <c r="I539" s="71"/>
    </row>
    <row r="540" spans="1:9">
      <c r="A540" s="65" t="s">
        <v>679</v>
      </c>
      <c r="B540" s="189" t="s">
        <v>621</v>
      </c>
      <c r="C540" s="189"/>
      <c r="D540" s="68" t="s">
        <v>1010</v>
      </c>
      <c r="E540" s="69">
        <v>2</v>
      </c>
      <c r="F540" s="70">
        <v>150</v>
      </c>
      <c r="G540" s="70">
        <f t="shared" si="12"/>
        <v>300</v>
      </c>
      <c r="H540" s="81"/>
      <c r="I540" s="71"/>
    </row>
    <row r="541" spans="1:9">
      <c r="A541" s="65" t="s">
        <v>680</v>
      </c>
      <c r="B541" s="189" t="s">
        <v>942</v>
      </c>
      <c r="C541" s="189"/>
      <c r="D541" s="68" t="s">
        <v>1010</v>
      </c>
      <c r="E541" s="69">
        <v>1</v>
      </c>
      <c r="F541" s="70">
        <v>150</v>
      </c>
      <c r="G541" s="70">
        <f t="shared" si="12"/>
        <v>150</v>
      </c>
      <c r="H541" s="81"/>
      <c r="I541" s="71"/>
    </row>
    <row r="542" spans="1:9">
      <c r="A542" s="65" t="s">
        <v>681</v>
      </c>
      <c r="B542" s="189" t="s">
        <v>395</v>
      </c>
      <c r="C542" s="189"/>
      <c r="D542" s="68" t="s">
        <v>1010</v>
      </c>
      <c r="E542" s="69">
        <v>6</v>
      </c>
      <c r="F542" s="70">
        <v>2.8</v>
      </c>
      <c r="G542" s="70">
        <f t="shared" si="12"/>
        <v>16.8</v>
      </c>
      <c r="H542" s="81"/>
      <c r="I542" s="71"/>
    </row>
    <row r="543" spans="1:9">
      <c r="A543" s="65" t="s">
        <v>682</v>
      </c>
      <c r="B543" s="189" t="s">
        <v>622</v>
      </c>
      <c r="C543" s="189"/>
      <c r="D543" s="68" t="s">
        <v>1010</v>
      </c>
      <c r="E543" s="69">
        <v>6</v>
      </c>
      <c r="F543" s="70">
        <v>3.1</v>
      </c>
      <c r="G543" s="70">
        <f t="shared" si="12"/>
        <v>18.600000000000001</v>
      </c>
      <c r="H543" s="81"/>
      <c r="I543" s="71"/>
    </row>
    <row r="544" spans="1:9">
      <c r="A544" s="65" t="s">
        <v>683</v>
      </c>
      <c r="B544" s="189" t="s">
        <v>623</v>
      </c>
      <c r="C544" s="189"/>
      <c r="D544" s="68" t="s">
        <v>1010</v>
      </c>
      <c r="E544" s="69">
        <v>2</v>
      </c>
      <c r="F544" s="70">
        <v>42</v>
      </c>
      <c r="G544" s="70">
        <f t="shared" si="12"/>
        <v>84</v>
      </c>
      <c r="H544" s="81"/>
      <c r="I544" s="71"/>
    </row>
    <row r="545" spans="1:9">
      <c r="A545" s="65" t="s">
        <v>684</v>
      </c>
      <c r="B545" s="189" t="s">
        <v>624</v>
      </c>
      <c r="C545" s="189"/>
      <c r="D545" s="68" t="s">
        <v>752</v>
      </c>
      <c r="E545" s="69">
        <v>46</v>
      </c>
      <c r="F545" s="70">
        <v>53.33</v>
      </c>
      <c r="G545" s="70">
        <f t="shared" si="12"/>
        <v>2453.1799999999998</v>
      </c>
      <c r="H545" s="81"/>
      <c r="I545" s="71"/>
    </row>
    <row r="546" spans="1:9">
      <c r="A546" s="65" t="s">
        <v>685</v>
      </c>
      <c r="B546" s="189" t="s">
        <v>625</v>
      </c>
      <c r="C546" s="189"/>
      <c r="D546" s="68" t="s">
        <v>177</v>
      </c>
      <c r="E546" s="69">
        <v>16</v>
      </c>
      <c r="F546" s="70">
        <v>14.26</v>
      </c>
      <c r="G546" s="70">
        <f t="shared" si="12"/>
        <v>228.16</v>
      </c>
      <c r="H546" s="81"/>
      <c r="I546" s="71"/>
    </row>
    <row r="547" spans="1:9">
      <c r="A547" s="65" t="s">
        <v>686</v>
      </c>
      <c r="B547" s="189" t="s">
        <v>943</v>
      </c>
      <c r="C547" s="189"/>
      <c r="D547" s="68" t="s">
        <v>757</v>
      </c>
      <c r="E547" s="69">
        <v>1</v>
      </c>
      <c r="F547" s="70">
        <v>420</v>
      </c>
      <c r="G547" s="70">
        <f t="shared" si="12"/>
        <v>420</v>
      </c>
      <c r="H547" s="81"/>
      <c r="I547" s="71"/>
    </row>
    <row r="548" spans="1:9">
      <c r="A548" s="65" t="s">
        <v>687</v>
      </c>
      <c r="B548" s="189" t="s">
        <v>196</v>
      </c>
      <c r="C548" s="189"/>
      <c r="D548" s="68" t="s">
        <v>626</v>
      </c>
      <c r="E548" s="69">
        <v>240</v>
      </c>
      <c r="F548" s="70">
        <v>35</v>
      </c>
      <c r="G548" s="70">
        <f t="shared" si="12"/>
        <v>8400</v>
      </c>
      <c r="H548" s="81"/>
      <c r="I548" s="71"/>
    </row>
    <row r="549" spans="1:9">
      <c r="A549" s="65" t="s">
        <v>688</v>
      </c>
      <c r="B549" s="189" t="s">
        <v>197</v>
      </c>
      <c r="C549" s="189"/>
      <c r="D549" s="68" t="s">
        <v>626</v>
      </c>
      <c r="E549" s="69">
        <v>480</v>
      </c>
      <c r="F549" s="70">
        <v>25</v>
      </c>
      <c r="G549" s="70">
        <f t="shared" si="12"/>
        <v>12000</v>
      </c>
      <c r="H549" s="81"/>
      <c r="I549" s="71"/>
    </row>
    <row r="550" spans="1:9">
      <c r="A550" s="65" t="s">
        <v>689</v>
      </c>
      <c r="B550" s="189" t="s">
        <v>627</v>
      </c>
      <c r="C550" s="189"/>
      <c r="D550" s="68" t="s">
        <v>626</v>
      </c>
      <c r="E550" s="69">
        <v>240</v>
      </c>
      <c r="F550" s="70">
        <v>20</v>
      </c>
      <c r="G550" s="70">
        <f t="shared" si="12"/>
        <v>4800</v>
      </c>
      <c r="H550" s="81"/>
      <c r="I550" s="71"/>
    </row>
    <row r="551" spans="1:9">
      <c r="A551" s="65" t="s">
        <v>690</v>
      </c>
      <c r="B551" s="189" t="s">
        <v>628</v>
      </c>
      <c r="C551" s="189"/>
      <c r="D551" s="68" t="s">
        <v>626</v>
      </c>
      <c r="E551" s="69">
        <v>480</v>
      </c>
      <c r="F551" s="70">
        <v>12</v>
      </c>
      <c r="G551" s="70">
        <f t="shared" si="12"/>
        <v>5760</v>
      </c>
      <c r="H551" s="81"/>
      <c r="I551" s="71"/>
    </row>
    <row r="552" spans="1:9">
      <c r="A552" s="65" t="s">
        <v>691</v>
      </c>
      <c r="B552" s="189" t="s">
        <v>629</v>
      </c>
      <c r="C552" s="189"/>
      <c r="D552" s="68" t="s">
        <v>626</v>
      </c>
      <c r="E552" s="69">
        <v>240</v>
      </c>
      <c r="F552" s="70">
        <v>12</v>
      </c>
      <c r="G552" s="70">
        <f t="shared" si="12"/>
        <v>2880</v>
      </c>
      <c r="H552" s="81"/>
      <c r="I552" s="71"/>
    </row>
    <row r="553" spans="1:9">
      <c r="A553" s="65" t="s">
        <v>692</v>
      </c>
      <c r="B553" s="189" t="s">
        <v>630</v>
      </c>
      <c r="C553" s="189"/>
      <c r="D553" s="68" t="s">
        <v>626</v>
      </c>
      <c r="E553" s="69">
        <v>160</v>
      </c>
      <c r="F553" s="70">
        <v>8</v>
      </c>
      <c r="G553" s="70">
        <f t="shared" si="12"/>
        <v>1280</v>
      </c>
      <c r="H553" s="81"/>
      <c r="I553" s="71"/>
    </row>
    <row r="554" spans="1:9">
      <c r="A554" s="65" t="s">
        <v>693</v>
      </c>
      <c r="B554" s="189" t="s">
        <v>631</v>
      </c>
      <c r="C554" s="189"/>
      <c r="D554" s="68" t="s">
        <v>626</v>
      </c>
      <c r="E554" s="69">
        <v>480</v>
      </c>
      <c r="F554" s="70">
        <v>6</v>
      </c>
      <c r="G554" s="70">
        <f t="shared" si="12"/>
        <v>2880</v>
      </c>
      <c r="H554" s="81"/>
      <c r="I554" s="71"/>
    </row>
    <row r="555" spans="1:9">
      <c r="A555" s="65"/>
      <c r="B555" s="190" t="s">
        <v>525</v>
      </c>
      <c r="C555" s="188"/>
      <c r="D555" s="68"/>
      <c r="E555" s="69"/>
      <c r="F555" s="70"/>
      <c r="G555" s="74">
        <f>SUM(G493:G554)</f>
        <v>84624.18</v>
      </c>
      <c r="H555" s="81"/>
      <c r="I555" s="71"/>
    </row>
    <row r="556" spans="1:9" ht="15">
      <c r="A556" s="65" t="s">
        <v>1110</v>
      </c>
      <c r="B556" s="185" t="s">
        <v>125</v>
      </c>
      <c r="C556" s="186"/>
      <c r="D556" s="68"/>
      <c r="E556" s="69"/>
      <c r="F556" s="70"/>
      <c r="G556" s="70"/>
      <c r="H556" s="81"/>
      <c r="I556" s="71"/>
    </row>
    <row r="557" spans="1:9">
      <c r="A557" s="65" t="s">
        <v>1111</v>
      </c>
      <c r="B557" s="189" t="s">
        <v>75</v>
      </c>
      <c r="C557" s="189"/>
      <c r="D557" s="68" t="s">
        <v>417</v>
      </c>
      <c r="E557" s="69">
        <v>1</v>
      </c>
      <c r="F557" s="70">
        <v>2520</v>
      </c>
      <c r="G557" s="70">
        <f t="shared" ref="G557:G587" si="13">E557*F557</f>
        <v>2520</v>
      </c>
      <c r="H557" s="81"/>
      <c r="I557" s="71"/>
    </row>
    <row r="558" spans="1:9">
      <c r="A558" s="65" t="s">
        <v>1112</v>
      </c>
      <c r="B558" s="189" t="s">
        <v>76</v>
      </c>
      <c r="C558" s="189"/>
      <c r="D558" s="68" t="s">
        <v>417</v>
      </c>
      <c r="E558" s="69">
        <v>1</v>
      </c>
      <c r="F558" s="70">
        <v>2280</v>
      </c>
      <c r="G558" s="70">
        <f t="shared" si="13"/>
        <v>2280</v>
      </c>
      <c r="H558" s="81"/>
      <c r="I558" s="71"/>
    </row>
    <row r="559" spans="1:9">
      <c r="A559" s="65" t="s">
        <v>1113</v>
      </c>
      <c r="B559" s="189" t="s">
        <v>697</v>
      </c>
      <c r="C559" s="189"/>
      <c r="D559" s="68" t="s">
        <v>417</v>
      </c>
      <c r="E559" s="69">
        <v>2</v>
      </c>
      <c r="F559" s="70">
        <v>46</v>
      </c>
      <c r="G559" s="70">
        <f t="shared" si="13"/>
        <v>92</v>
      </c>
      <c r="H559" s="81"/>
      <c r="I559" s="71"/>
    </row>
    <row r="560" spans="1:9">
      <c r="A560" s="65" t="s">
        <v>1114</v>
      </c>
      <c r="B560" s="189" t="s">
        <v>698</v>
      </c>
      <c r="C560" s="189"/>
      <c r="D560" s="68" t="s">
        <v>417</v>
      </c>
      <c r="E560" s="69">
        <v>2</v>
      </c>
      <c r="F560" s="70">
        <v>72</v>
      </c>
      <c r="G560" s="70">
        <f t="shared" si="13"/>
        <v>144</v>
      </c>
      <c r="H560" s="81"/>
      <c r="I560" s="71"/>
    </row>
    <row r="561" spans="1:9">
      <c r="A561" s="65" t="s">
        <v>1115</v>
      </c>
      <c r="B561" s="189" t="s">
        <v>699</v>
      </c>
      <c r="C561" s="189"/>
      <c r="D561" s="68" t="s">
        <v>417</v>
      </c>
      <c r="E561" s="69">
        <v>2</v>
      </c>
      <c r="F561" s="70">
        <v>177</v>
      </c>
      <c r="G561" s="70">
        <f t="shared" si="13"/>
        <v>354</v>
      </c>
      <c r="H561" s="81"/>
      <c r="I561" s="71"/>
    </row>
    <row r="562" spans="1:9">
      <c r="A562" s="65" t="s">
        <v>1116</v>
      </c>
      <c r="B562" s="189" t="s">
        <v>77</v>
      </c>
      <c r="C562" s="189"/>
      <c r="D562" s="68" t="s">
        <v>417</v>
      </c>
      <c r="E562" s="69">
        <v>2</v>
      </c>
      <c r="F562" s="70">
        <v>180</v>
      </c>
      <c r="G562" s="70">
        <f t="shared" si="13"/>
        <v>360</v>
      </c>
      <c r="H562" s="81"/>
      <c r="I562" s="71"/>
    </row>
    <row r="563" spans="1:9">
      <c r="A563" s="65" t="s">
        <v>1117</v>
      </c>
      <c r="B563" s="189" t="s">
        <v>700</v>
      </c>
      <c r="C563" s="189"/>
      <c r="D563" s="68" t="s">
        <v>417</v>
      </c>
      <c r="E563" s="69">
        <v>2</v>
      </c>
      <c r="F563" s="70">
        <v>228.48</v>
      </c>
      <c r="G563" s="70">
        <f t="shared" si="13"/>
        <v>456.96</v>
      </c>
      <c r="H563" s="81"/>
      <c r="I563" s="71"/>
    </row>
    <row r="564" spans="1:9">
      <c r="A564" s="65" t="s">
        <v>1118</v>
      </c>
      <c r="B564" s="189" t="s">
        <v>701</v>
      </c>
      <c r="C564" s="189"/>
      <c r="D564" s="68" t="s">
        <v>417</v>
      </c>
      <c r="E564" s="69">
        <v>2</v>
      </c>
      <c r="F564" s="70">
        <v>17.57</v>
      </c>
      <c r="G564" s="70">
        <f t="shared" si="13"/>
        <v>35.14</v>
      </c>
      <c r="H564" s="81"/>
      <c r="I564" s="71"/>
    </row>
    <row r="565" spans="1:9">
      <c r="A565" s="65" t="s">
        <v>1119</v>
      </c>
      <c r="B565" s="189" t="s">
        <v>702</v>
      </c>
      <c r="C565" s="189"/>
      <c r="D565" s="68" t="s">
        <v>417</v>
      </c>
      <c r="E565" s="69">
        <v>2</v>
      </c>
      <c r="F565" s="70">
        <v>160</v>
      </c>
      <c r="G565" s="70">
        <f t="shared" si="13"/>
        <v>320</v>
      </c>
      <c r="H565" s="81"/>
      <c r="I565" s="71"/>
    </row>
    <row r="566" spans="1:9">
      <c r="A566" s="65" t="s">
        <v>1120</v>
      </c>
      <c r="B566" s="189" t="s">
        <v>703</v>
      </c>
      <c r="C566" s="189"/>
      <c r="D566" s="68" t="s">
        <v>417</v>
      </c>
      <c r="E566" s="69">
        <v>2</v>
      </c>
      <c r="F566" s="70">
        <v>280</v>
      </c>
      <c r="G566" s="70">
        <f t="shared" si="13"/>
        <v>560</v>
      </c>
      <c r="H566" s="81"/>
      <c r="I566" s="71"/>
    </row>
    <row r="567" spans="1:9">
      <c r="A567" s="65" t="s">
        <v>1121</v>
      </c>
      <c r="B567" s="189" t="s">
        <v>704</v>
      </c>
      <c r="C567" s="189"/>
      <c r="D567" s="68" t="s">
        <v>417</v>
      </c>
      <c r="E567" s="69">
        <v>2</v>
      </c>
      <c r="F567" s="70">
        <v>36</v>
      </c>
      <c r="G567" s="70">
        <f t="shared" si="13"/>
        <v>72</v>
      </c>
      <c r="H567" s="81"/>
      <c r="I567" s="71"/>
    </row>
    <row r="568" spans="1:9">
      <c r="A568" s="65" t="s">
        <v>1122</v>
      </c>
      <c r="B568" s="189" t="s">
        <v>78</v>
      </c>
      <c r="C568" s="189"/>
      <c r="D568" s="68" t="s">
        <v>417</v>
      </c>
      <c r="E568" s="69">
        <v>1</v>
      </c>
      <c r="F568" s="70">
        <v>2800</v>
      </c>
      <c r="G568" s="70">
        <f t="shared" si="13"/>
        <v>2800</v>
      </c>
      <c r="H568" s="81">
        <v>0</v>
      </c>
      <c r="I568" s="71"/>
    </row>
    <row r="569" spans="1:9">
      <c r="A569" s="65" t="s">
        <v>1123</v>
      </c>
      <c r="B569" s="189" t="s">
        <v>79</v>
      </c>
      <c r="C569" s="189"/>
      <c r="D569" s="68" t="s">
        <v>1010</v>
      </c>
      <c r="E569" s="69">
        <v>1</v>
      </c>
      <c r="F569" s="70">
        <v>2450</v>
      </c>
      <c r="G569" s="70">
        <f t="shared" si="13"/>
        <v>2450</v>
      </c>
      <c r="H569" s="81"/>
      <c r="I569" s="71"/>
    </row>
    <row r="570" spans="1:9">
      <c r="A570" s="65" t="s">
        <v>1124</v>
      </c>
      <c r="B570" s="189" t="s">
        <v>705</v>
      </c>
      <c r="C570" s="189"/>
      <c r="D570" s="68" t="s">
        <v>752</v>
      </c>
      <c r="E570" s="69">
        <v>89.2</v>
      </c>
      <c r="F570" s="70">
        <v>381</v>
      </c>
      <c r="G570" s="70">
        <f t="shared" si="13"/>
        <v>33985.199999999997</v>
      </c>
      <c r="H570" s="81"/>
      <c r="I570" s="71"/>
    </row>
    <row r="571" spans="1:9">
      <c r="A571" s="65" t="s">
        <v>1125</v>
      </c>
      <c r="B571" s="189" t="s">
        <v>706</v>
      </c>
      <c r="C571" s="189"/>
      <c r="D571" s="68" t="s">
        <v>752</v>
      </c>
      <c r="E571" s="69">
        <v>31.5</v>
      </c>
      <c r="F571" s="70">
        <v>75</v>
      </c>
      <c r="G571" s="70">
        <f t="shared" si="13"/>
        <v>2362.5</v>
      </c>
      <c r="H571" s="81"/>
      <c r="I571" s="71"/>
    </row>
    <row r="572" spans="1:9">
      <c r="A572" s="65" t="s">
        <v>1126</v>
      </c>
      <c r="B572" s="189" t="s">
        <v>707</v>
      </c>
      <c r="C572" s="189"/>
      <c r="D572" s="68" t="s">
        <v>752</v>
      </c>
      <c r="E572" s="69">
        <v>31.5</v>
      </c>
      <c r="F572" s="70">
        <v>381</v>
      </c>
      <c r="G572" s="70">
        <f t="shared" si="13"/>
        <v>12001.5</v>
      </c>
      <c r="H572" s="81"/>
      <c r="I572" s="71"/>
    </row>
    <row r="573" spans="1:9">
      <c r="A573" s="65" t="s">
        <v>1127</v>
      </c>
      <c r="B573" s="189" t="s">
        <v>708</v>
      </c>
      <c r="C573" s="189"/>
      <c r="D573" s="68" t="s">
        <v>752</v>
      </c>
      <c r="E573" s="69">
        <v>63</v>
      </c>
      <c r="F573" s="70">
        <v>56</v>
      </c>
      <c r="G573" s="70">
        <f t="shared" si="13"/>
        <v>3528</v>
      </c>
      <c r="H573" s="81"/>
      <c r="I573" s="71"/>
    </row>
    <row r="574" spans="1:9">
      <c r="A574" s="65" t="s">
        <v>1128</v>
      </c>
      <c r="B574" s="189" t="s">
        <v>709</v>
      </c>
      <c r="C574" s="189"/>
      <c r="D574" s="68" t="s">
        <v>752</v>
      </c>
      <c r="E574" s="69">
        <v>31.5</v>
      </c>
      <c r="F574" s="70">
        <v>100</v>
      </c>
      <c r="G574" s="70">
        <f t="shared" si="13"/>
        <v>3150</v>
      </c>
      <c r="H574" s="81"/>
      <c r="I574" s="71"/>
    </row>
    <row r="575" spans="1:9">
      <c r="A575" s="65" t="s">
        <v>1129</v>
      </c>
      <c r="B575" s="189" t="s">
        <v>710</v>
      </c>
      <c r="C575" s="189"/>
      <c r="D575" s="68" t="s">
        <v>417</v>
      </c>
      <c r="E575" s="69">
        <v>2</v>
      </c>
      <c r="F575" s="70">
        <v>2500</v>
      </c>
      <c r="G575" s="70">
        <f t="shared" si="13"/>
        <v>5000</v>
      </c>
      <c r="H575" s="81"/>
      <c r="I575" s="71"/>
    </row>
    <row r="576" spans="1:9">
      <c r="A576" s="65" t="s">
        <v>1130</v>
      </c>
      <c r="B576" s="189" t="s">
        <v>711</v>
      </c>
      <c r="C576" s="189"/>
      <c r="D576" s="68" t="s">
        <v>417</v>
      </c>
      <c r="E576" s="69">
        <v>1</v>
      </c>
      <c r="F576" s="70">
        <v>3500</v>
      </c>
      <c r="G576" s="70">
        <f t="shared" si="13"/>
        <v>3500</v>
      </c>
      <c r="H576" s="81"/>
      <c r="I576" s="71"/>
    </row>
    <row r="577" spans="1:9">
      <c r="A577" s="65" t="s">
        <v>1131</v>
      </c>
      <c r="B577" s="189" t="s">
        <v>712</v>
      </c>
      <c r="C577" s="189"/>
      <c r="D577" s="68" t="s">
        <v>501</v>
      </c>
      <c r="E577" s="69">
        <v>10</v>
      </c>
      <c r="F577" s="70">
        <v>39</v>
      </c>
      <c r="G577" s="70">
        <f t="shared" si="13"/>
        <v>390</v>
      </c>
      <c r="H577" s="81"/>
      <c r="I577" s="71"/>
    </row>
    <row r="578" spans="1:9">
      <c r="A578" s="65" t="s">
        <v>1132</v>
      </c>
      <c r="B578" s="189" t="s">
        <v>713</v>
      </c>
      <c r="C578" s="189"/>
      <c r="D578" s="68" t="s">
        <v>755</v>
      </c>
      <c r="E578" s="69">
        <v>16</v>
      </c>
      <c r="F578" s="70">
        <v>4</v>
      </c>
      <c r="G578" s="70">
        <f t="shared" si="13"/>
        <v>64</v>
      </c>
      <c r="H578" s="81"/>
      <c r="I578" s="71"/>
    </row>
    <row r="579" spans="1:9">
      <c r="A579" s="65" t="s">
        <v>723</v>
      </c>
      <c r="B579" s="189" t="s">
        <v>714</v>
      </c>
      <c r="C579" s="189"/>
      <c r="D579" s="68" t="s">
        <v>757</v>
      </c>
      <c r="E579" s="69">
        <v>1</v>
      </c>
      <c r="F579" s="70">
        <v>2450</v>
      </c>
      <c r="G579" s="70">
        <f t="shared" si="13"/>
        <v>2450</v>
      </c>
      <c r="H579" s="81">
        <v>0</v>
      </c>
      <c r="I579" s="71"/>
    </row>
    <row r="580" spans="1:9">
      <c r="A580" s="65" t="s">
        <v>1133</v>
      </c>
      <c r="B580" s="189" t="s">
        <v>944</v>
      </c>
      <c r="C580" s="189"/>
      <c r="D580" s="68" t="s">
        <v>1010</v>
      </c>
      <c r="E580" s="69">
        <v>2</v>
      </c>
      <c r="F580" s="70">
        <v>120</v>
      </c>
      <c r="G580" s="70">
        <f t="shared" si="13"/>
        <v>240</v>
      </c>
      <c r="H580" s="81"/>
      <c r="I580" s="71"/>
    </row>
    <row r="581" spans="1:9">
      <c r="A581" s="65" t="s">
        <v>724</v>
      </c>
      <c r="B581" s="189" t="s">
        <v>715</v>
      </c>
      <c r="C581" s="189"/>
      <c r="D581" s="68" t="s">
        <v>1010</v>
      </c>
      <c r="E581" s="69">
        <v>1</v>
      </c>
      <c r="F581" s="70">
        <v>360</v>
      </c>
      <c r="G581" s="70">
        <f t="shared" si="13"/>
        <v>360</v>
      </c>
      <c r="H581" s="81"/>
      <c r="I581" s="71"/>
    </row>
    <row r="582" spans="1:9">
      <c r="A582" s="65" t="s">
        <v>1134</v>
      </c>
      <c r="B582" s="189" t="s">
        <v>716</v>
      </c>
      <c r="C582" s="189"/>
      <c r="D582" s="68" t="s">
        <v>753</v>
      </c>
      <c r="E582" s="69">
        <v>10</v>
      </c>
      <c r="F582" s="70">
        <v>15</v>
      </c>
      <c r="G582" s="70">
        <f t="shared" si="13"/>
        <v>150</v>
      </c>
      <c r="H582" s="81"/>
      <c r="I582" s="71"/>
    </row>
    <row r="583" spans="1:9">
      <c r="A583" s="65" t="s">
        <v>1135</v>
      </c>
      <c r="B583" s="189" t="s">
        <v>717</v>
      </c>
      <c r="C583" s="189"/>
      <c r="D583" s="68" t="s">
        <v>626</v>
      </c>
      <c r="E583" s="69">
        <v>60</v>
      </c>
      <c r="F583" s="70">
        <v>11</v>
      </c>
      <c r="G583" s="70">
        <f t="shared" si="13"/>
        <v>660</v>
      </c>
      <c r="H583" s="81"/>
      <c r="I583" s="71"/>
    </row>
    <row r="584" spans="1:9">
      <c r="A584" s="65" t="s">
        <v>1136</v>
      </c>
      <c r="B584" s="189" t="s">
        <v>1024</v>
      </c>
      <c r="C584" s="189"/>
      <c r="D584" s="68" t="s">
        <v>626</v>
      </c>
      <c r="E584" s="69">
        <v>120</v>
      </c>
      <c r="F584" s="70">
        <v>15</v>
      </c>
      <c r="G584" s="70">
        <f t="shared" si="13"/>
        <v>1800</v>
      </c>
      <c r="H584" s="81"/>
      <c r="I584" s="71"/>
    </row>
    <row r="585" spans="1:9">
      <c r="A585" s="65" t="s">
        <v>725</v>
      </c>
      <c r="B585" s="189" t="s">
        <v>1025</v>
      </c>
      <c r="C585" s="189"/>
      <c r="D585" s="68" t="s">
        <v>626</v>
      </c>
      <c r="E585" s="69">
        <v>120</v>
      </c>
      <c r="F585" s="70">
        <v>10</v>
      </c>
      <c r="G585" s="70">
        <f t="shared" si="13"/>
        <v>1200</v>
      </c>
      <c r="H585" s="81"/>
      <c r="I585" s="71"/>
    </row>
    <row r="586" spans="1:9">
      <c r="A586" s="65" t="s">
        <v>1137</v>
      </c>
      <c r="B586" s="189" t="s">
        <v>490</v>
      </c>
      <c r="C586" s="189"/>
      <c r="D586" s="68" t="s">
        <v>626</v>
      </c>
      <c r="E586" s="69">
        <v>120</v>
      </c>
      <c r="F586" s="70">
        <v>6</v>
      </c>
      <c r="G586" s="70">
        <f t="shared" si="13"/>
        <v>720</v>
      </c>
      <c r="H586" s="81"/>
      <c r="I586" s="71"/>
    </row>
    <row r="587" spans="1:9">
      <c r="A587" s="65" t="s">
        <v>1138</v>
      </c>
      <c r="B587" s="189" t="s">
        <v>945</v>
      </c>
      <c r="C587" s="189"/>
      <c r="D587" s="68" t="s">
        <v>626</v>
      </c>
      <c r="E587" s="69">
        <v>80</v>
      </c>
      <c r="F587" s="70">
        <v>38.5</v>
      </c>
      <c r="G587" s="70">
        <f t="shared" si="13"/>
        <v>3080</v>
      </c>
      <c r="H587" s="81"/>
      <c r="I587" s="71"/>
    </row>
    <row r="588" spans="1:9">
      <c r="A588" s="65"/>
      <c r="B588" s="190" t="s">
        <v>525</v>
      </c>
      <c r="C588" s="188"/>
      <c r="D588" s="68"/>
      <c r="E588" s="69"/>
      <c r="F588" s="70"/>
      <c r="G588" s="74">
        <f>SUM(G557:G587)</f>
        <v>87085.3</v>
      </c>
      <c r="H588" s="100">
        <f>G589/H643</f>
        <v>5.45E-2</v>
      </c>
      <c r="I588" s="71"/>
    </row>
    <row r="589" spans="1:9">
      <c r="A589" s="102"/>
      <c r="B589" s="191" t="s">
        <v>108</v>
      </c>
      <c r="C589" s="192"/>
      <c r="D589" s="82"/>
      <c r="E589" s="83"/>
      <c r="F589" s="84"/>
      <c r="G589" s="84">
        <f>SUM(G555+G588)</f>
        <v>171709.48</v>
      </c>
      <c r="H589" s="84">
        <f>G589*1</f>
        <v>171709.48</v>
      </c>
      <c r="I589" s="71"/>
    </row>
    <row r="590" spans="1:9" ht="15">
      <c r="A590" s="65" t="s">
        <v>403</v>
      </c>
      <c r="B590" s="184" t="s">
        <v>547</v>
      </c>
      <c r="C590" s="184"/>
      <c r="D590" s="68" t="s">
        <v>761</v>
      </c>
      <c r="E590" s="69"/>
      <c r="F590" s="70"/>
      <c r="G590" s="70"/>
      <c r="H590" s="81"/>
      <c r="I590" s="71"/>
    </row>
    <row r="591" spans="1:9" ht="15">
      <c r="A591" s="65" t="s">
        <v>404</v>
      </c>
      <c r="B591" s="184" t="s">
        <v>550</v>
      </c>
      <c r="C591" s="184"/>
      <c r="D591" s="68" t="s">
        <v>761</v>
      </c>
      <c r="E591" s="69"/>
      <c r="F591" s="70"/>
      <c r="G591" s="70"/>
      <c r="H591" s="81"/>
      <c r="I591" s="71"/>
    </row>
    <row r="592" spans="1:9" ht="15">
      <c r="A592" s="65" t="s">
        <v>405</v>
      </c>
      <c r="B592" s="184" t="s">
        <v>338</v>
      </c>
      <c r="C592" s="184"/>
      <c r="D592" s="68" t="s">
        <v>761</v>
      </c>
      <c r="E592" s="69"/>
      <c r="F592" s="70"/>
      <c r="G592" s="70"/>
      <c r="I592" s="101"/>
    </row>
    <row r="593" spans="1:9" s="21" customFormat="1">
      <c r="A593" s="65" t="s">
        <v>126</v>
      </c>
      <c r="B593" s="189" t="s">
        <v>986</v>
      </c>
      <c r="C593" s="189"/>
      <c r="D593" s="68" t="s">
        <v>755</v>
      </c>
      <c r="E593" s="69">
        <v>57</v>
      </c>
      <c r="F593" s="70">
        <v>76.34</v>
      </c>
      <c r="G593" s="70">
        <f t="shared" ref="G593:G615" si="14">E593*F593</f>
        <v>4351.38</v>
      </c>
      <c r="H593" s="40"/>
      <c r="I593" s="101"/>
    </row>
    <row r="594" spans="1:9">
      <c r="A594" s="65" t="s">
        <v>127</v>
      </c>
      <c r="B594" s="189" t="s">
        <v>734</v>
      </c>
      <c r="C594" s="189"/>
      <c r="D594" s="68" t="s">
        <v>177</v>
      </c>
      <c r="E594" s="69">
        <v>2</v>
      </c>
      <c r="F594" s="70">
        <v>98.6</v>
      </c>
      <c r="G594" s="70">
        <f t="shared" si="14"/>
        <v>197.2</v>
      </c>
      <c r="H594" s="40">
        <v>0</v>
      </c>
      <c r="I594" s="101"/>
    </row>
    <row r="595" spans="1:9">
      <c r="A595" s="65" t="s">
        <v>128</v>
      </c>
      <c r="B595" s="189" t="s">
        <v>735</v>
      </c>
      <c r="C595" s="189"/>
      <c r="D595" s="68" t="s">
        <v>177</v>
      </c>
      <c r="E595" s="69">
        <v>1</v>
      </c>
      <c r="F595" s="70">
        <v>40.299999999999997</v>
      </c>
      <c r="G595" s="70">
        <f t="shared" si="14"/>
        <v>40.299999999999997</v>
      </c>
      <c r="H595" s="81">
        <v>0</v>
      </c>
      <c r="I595" s="71"/>
    </row>
    <row r="596" spans="1:9">
      <c r="A596" s="65" t="s">
        <v>129</v>
      </c>
      <c r="B596" s="189" t="s">
        <v>736</v>
      </c>
      <c r="C596" s="189"/>
      <c r="D596" s="68" t="s">
        <v>177</v>
      </c>
      <c r="E596" s="69">
        <v>1</v>
      </c>
      <c r="F596" s="70">
        <v>26</v>
      </c>
      <c r="G596" s="70">
        <f t="shared" si="14"/>
        <v>26</v>
      </c>
      <c r="H596" s="81">
        <v>0</v>
      </c>
      <c r="I596" s="71"/>
    </row>
    <row r="597" spans="1:9">
      <c r="A597" s="65" t="s">
        <v>130</v>
      </c>
      <c r="B597" s="189" t="s">
        <v>881</v>
      </c>
      <c r="C597" s="189"/>
      <c r="D597" s="68" t="s">
        <v>177</v>
      </c>
      <c r="E597" s="69">
        <v>2</v>
      </c>
      <c r="F597" s="70">
        <v>31</v>
      </c>
      <c r="G597" s="70">
        <f t="shared" si="14"/>
        <v>62</v>
      </c>
      <c r="H597" s="81"/>
      <c r="I597" s="71"/>
    </row>
    <row r="598" spans="1:9">
      <c r="A598" s="65" t="s">
        <v>131</v>
      </c>
      <c r="B598" s="189" t="s">
        <v>987</v>
      </c>
      <c r="C598" s="189"/>
      <c r="D598" s="68" t="s">
        <v>177</v>
      </c>
      <c r="E598" s="69">
        <v>1</v>
      </c>
      <c r="F598" s="70">
        <v>486.93</v>
      </c>
      <c r="G598" s="70">
        <f t="shared" si="14"/>
        <v>486.93</v>
      </c>
      <c r="H598" s="81"/>
      <c r="I598" s="71"/>
    </row>
    <row r="599" spans="1:9">
      <c r="A599" s="65" t="s">
        <v>132</v>
      </c>
      <c r="B599" s="189" t="s">
        <v>882</v>
      </c>
      <c r="C599" s="189"/>
      <c r="D599" s="68" t="s">
        <v>177</v>
      </c>
      <c r="E599" s="69">
        <v>1</v>
      </c>
      <c r="F599" s="70">
        <v>190.8</v>
      </c>
      <c r="G599" s="70">
        <f t="shared" si="14"/>
        <v>190.8</v>
      </c>
      <c r="H599" s="81"/>
      <c r="I599" s="71"/>
    </row>
    <row r="600" spans="1:9">
      <c r="A600" s="65" t="s">
        <v>133</v>
      </c>
      <c r="B600" s="189" t="s">
        <v>989</v>
      </c>
      <c r="C600" s="189"/>
      <c r="D600" s="68" t="s">
        <v>177</v>
      </c>
      <c r="E600" s="69">
        <v>5</v>
      </c>
      <c r="F600" s="70">
        <v>212</v>
      </c>
      <c r="G600" s="70">
        <f t="shared" si="14"/>
        <v>1060</v>
      </c>
      <c r="H600" s="81"/>
      <c r="I600" s="71"/>
    </row>
    <row r="601" spans="1:9">
      <c r="A601" s="65" t="s">
        <v>134</v>
      </c>
      <c r="B601" s="189" t="s">
        <v>883</v>
      </c>
      <c r="C601" s="189"/>
      <c r="D601" s="68" t="s">
        <v>177</v>
      </c>
      <c r="E601" s="69">
        <v>1</v>
      </c>
      <c r="F601" s="70">
        <v>35</v>
      </c>
      <c r="G601" s="70">
        <f t="shared" si="14"/>
        <v>35</v>
      </c>
      <c r="H601" s="81"/>
      <c r="I601" s="71"/>
    </row>
    <row r="602" spans="1:9">
      <c r="A602" s="65" t="s">
        <v>135</v>
      </c>
      <c r="B602" s="189" t="s">
        <v>149</v>
      </c>
      <c r="C602" s="189"/>
      <c r="D602" s="68" t="s">
        <v>177</v>
      </c>
      <c r="E602" s="69">
        <v>9</v>
      </c>
      <c r="F602" s="70">
        <v>356</v>
      </c>
      <c r="G602" s="70">
        <f t="shared" si="14"/>
        <v>3204</v>
      </c>
      <c r="H602" s="81"/>
      <c r="I602" s="71"/>
    </row>
    <row r="603" spans="1:9">
      <c r="A603" s="65" t="s">
        <v>136</v>
      </c>
      <c r="B603" s="189" t="s">
        <v>946</v>
      </c>
      <c r="C603" s="189"/>
      <c r="D603" s="68" t="s">
        <v>177</v>
      </c>
      <c r="E603" s="69">
        <v>12</v>
      </c>
      <c r="F603" s="70">
        <v>156</v>
      </c>
      <c r="G603" s="70">
        <f t="shared" si="14"/>
        <v>1872</v>
      </c>
      <c r="H603" s="81"/>
      <c r="I603" s="71"/>
    </row>
    <row r="604" spans="1:9">
      <c r="A604" s="65" t="s">
        <v>137</v>
      </c>
      <c r="B604" s="189" t="s">
        <v>884</v>
      </c>
      <c r="C604" s="189"/>
      <c r="D604" s="68" t="s">
        <v>1139</v>
      </c>
      <c r="E604" s="69">
        <v>21</v>
      </c>
      <c r="F604" s="70">
        <v>15</v>
      </c>
      <c r="G604" s="70">
        <f t="shared" si="14"/>
        <v>315</v>
      </c>
      <c r="H604" s="81"/>
      <c r="I604" s="71"/>
    </row>
    <row r="605" spans="1:9">
      <c r="A605" s="65" t="s">
        <v>138</v>
      </c>
      <c r="B605" s="189" t="s">
        <v>885</v>
      </c>
      <c r="C605" s="189"/>
      <c r="D605" s="68" t="s">
        <v>1139</v>
      </c>
      <c r="E605" s="69">
        <v>1</v>
      </c>
      <c r="F605" s="70">
        <v>177</v>
      </c>
      <c r="G605" s="70">
        <f t="shared" si="14"/>
        <v>177</v>
      </c>
      <c r="H605" s="81"/>
      <c r="I605" s="71"/>
    </row>
    <row r="606" spans="1:9">
      <c r="A606" s="65" t="s">
        <v>139</v>
      </c>
      <c r="B606" s="189" t="s">
        <v>23</v>
      </c>
      <c r="C606" s="189"/>
      <c r="D606" s="68" t="s">
        <v>1139</v>
      </c>
      <c r="E606" s="69">
        <v>1</v>
      </c>
      <c r="F606" s="70">
        <v>120</v>
      </c>
      <c r="G606" s="70">
        <f t="shared" si="14"/>
        <v>120</v>
      </c>
      <c r="H606" s="81"/>
      <c r="I606" s="71"/>
    </row>
    <row r="607" spans="1:9">
      <c r="A607" s="65" t="s">
        <v>140</v>
      </c>
      <c r="B607" s="189" t="s">
        <v>988</v>
      </c>
      <c r="C607" s="189"/>
      <c r="D607" s="68" t="s">
        <v>1139</v>
      </c>
      <c r="E607" s="69">
        <v>6</v>
      </c>
      <c r="F607" s="70">
        <v>278</v>
      </c>
      <c r="G607" s="70">
        <f t="shared" si="14"/>
        <v>1668</v>
      </c>
      <c r="H607" s="81"/>
      <c r="I607" s="71"/>
    </row>
    <row r="608" spans="1:9">
      <c r="A608" s="65" t="s">
        <v>141</v>
      </c>
      <c r="B608" s="189" t="s">
        <v>923</v>
      </c>
      <c r="C608" s="189"/>
      <c r="D608" s="68" t="s">
        <v>1139</v>
      </c>
      <c r="E608" s="69">
        <v>3</v>
      </c>
      <c r="F608" s="70">
        <v>36</v>
      </c>
      <c r="G608" s="70">
        <f t="shared" si="14"/>
        <v>108</v>
      </c>
      <c r="H608" s="81"/>
      <c r="I608" s="71"/>
    </row>
    <row r="609" spans="1:9">
      <c r="A609" s="65" t="s">
        <v>142</v>
      </c>
      <c r="B609" s="189" t="s">
        <v>24</v>
      </c>
      <c r="C609" s="189"/>
      <c r="D609" s="68" t="s">
        <v>177</v>
      </c>
      <c r="E609" s="69">
        <v>21</v>
      </c>
      <c r="F609" s="70">
        <v>15</v>
      </c>
      <c r="G609" s="70">
        <f t="shared" si="14"/>
        <v>315</v>
      </c>
      <c r="H609" s="81"/>
      <c r="I609" s="71"/>
    </row>
    <row r="610" spans="1:9">
      <c r="A610" s="65" t="s">
        <v>143</v>
      </c>
      <c r="B610" s="189" t="s">
        <v>25</v>
      </c>
      <c r="C610" s="189"/>
      <c r="D610" s="68" t="s">
        <v>177</v>
      </c>
      <c r="E610" s="69">
        <v>6</v>
      </c>
      <c r="F610" s="70">
        <v>25</v>
      </c>
      <c r="G610" s="70">
        <f t="shared" si="14"/>
        <v>150</v>
      </c>
      <c r="H610" s="81"/>
      <c r="I610" s="71"/>
    </row>
    <row r="611" spans="1:9">
      <c r="A611" s="65" t="s">
        <v>144</v>
      </c>
      <c r="B611" s="189" t="s">
        <v>26</v>
      </c>
      <c r="C611" s="189"/>
      <c r="D611" s="68" t="s">
        <v>177</v>
      </c>
      <c r="E611" s="69">
        <v>20</v>
      </c>
      <c r="F611" s="70">
        <v>25</v>
      </c>
      <c r="G611" s="70">
        <f t="shared" si="14"/>
        <v>500</v>
      </c>
      <c r="H611" s="81"/>
      <c r="I611" s="71"/>
    </row>
    <row r="612" spans="1:9">
      <c r="A612" s="65" t="s">
        <v>145</v>
      </c>
      <c r="B612" s="189" t="s">
        <v>27</v>
      </c>
      <c r="C612" s="189"/>
      <c r="D612" s="68" t="s">
        <v>177</v>
      </c>
      <c r="E612" s="69">
        <v>10</v>
      </c>
      <c r="F612" s="70">
        <v>25</v>
      </c>
      <c r="G612" s="70">
        <f t="shared" si="14"/>
        <v>250</v>
      </c>
      <c r="H612" s="81"/>
      <c r="I612" s="71"/>
    </row>
    <row r="613" spans="1:9">
      <c r="A613" s="65" t="s">
        <v>146</v>
      </c>
      <c r="B613" s="189" t="s">
        <v>28</v>
      </c>
      <c r="C613" s="189"/>
      <c r="D613" s="68" t="s">
        <v>177</v>
      </c>
      <c r="E613" s="69">
        <v>7</v>
      </c>
      <c r="F613" s="70">
        <v>25</v>
      </c>
      <c r="G613" s="70">
        <f t="shared" si="14"/>
        <v>175</v>
      </c>
      <c r="H613" s="81"/>
      <c r="I613" s="71"/>
    </row>
    <row r="614" spans="1:9">
      <c r="A614" s="65" t="s">
        <v>147</v>
      </c>
      <c r="B614" s="189" t="s">
        <v>29</v>
      </c>
      <c r="C614" s="189"/>
      <c r="D614" s="68" t="s">
        <v>177</v>
      </c>
      <c r="E614" s="69">
        <v>5</v>
      </c>
      <c r="F614" s="70">
        <v>36</v>
      </c>
      <c r="G614" s="70">
        <f t="shared" si="14"/>
        <v>180</v>
      </c>
      <c r="H614" s="81"/>
      <c r="I614" s="71"/>
    </row>
    <row r="615" spans="1:9" ht="12.75">
      <c r="A615" s="65" t="s">
        <v>148</v>
      </c>
      <c r="B615" s="189" t="s">
        <v>990</v>
      </c>
      <c r="C615" s="219"/>
      <c r="D615" s="68" t="s">
        <v>177</v>
      </c>
      <c r="E615" s="69">
        <v>1</v>
      </c>
      <c r="F615" s="70">
        <v>235</v>
      </c>
      <c r="G615" s="70">
        <f t="shared" si="14"/>
        <v>235</v>
      </c>
      <c r="H615" s="81"/>
      <c r="I615" s="71"/>
    </row>
    <row r="616" spans="1:9">
      <c r="A616" s="65"/>
      <c r="B616" s="190" t="s">
        <v>525</v>
      </c>
      <c r="C616" s="188"/>
      <c r="D616" s="68"/>
      <c r="E616" s="69"/>
      <c r="F616" s="70"/>
      <c r="G616" s="74">
        <f>SUM(G593:G615)</f>
        <v>15718.61</v>
      </c>
      <c r="H616" s="100">
        <f>G617/H643</f>
        <v>5.0000000000000001E-3</v>
      </c>
      <c r="I616" s="71"/>
    </row>
    <row r="617" spans="1:9">
      <c r="A617" s="102"/>
      <c r="B617" s="191" t="s">
        <v>108</v>
      </c>
      <c r="C617" s="192"/>
      <c r="D617" s="82"/>
      <c r="E617" s="83"/>
      <c r="F617" s="84"/>
      <c r="G617" s="84">
        <v>15718.61</v>
      </c>
      <c r="H617" s="84">
        <f>G617*1</f>
        <v>15718.61</v>
      </c>
      <c r="I617" s="71"/>
    </row>
    <row r="618" spans="1:9" ht="15">
      <c r="A618" s="65" t="s">
        <v>406</v>
      </c>
      <c r="B618" s="184" t="s">
        <v>407</v>
      </c>
      <c r="C618" s="184"/>
      <c r="D618" s="68" t="s">
        <v>761</v>
      </c>
      <c r="E618" s="69"/>
      <c r="F618" s="70"/>
      <c r="G618" s="70"/>
      <c r="H618" s="81"/>
      <c r="I618" s="71"/>
    </row>
    <row r="619" spans="1:9" ht="15">
      <c r="A619" s="65" t="s">
        <v>408</v>
      </c>
      <c r="B619" s="184" t="s">
        <v>409</v>
      </c>
      <c r="C619" s="184"/>
      <c r="D619" s="68" t="s">
        <v>761</v>
      </c>
      <c r="E619" s="69"/>
      <c r="F619" s="70"/>
      <c r="G619" s="70"/>
      <c r="H619" s="81"/>
      <c r="I619" s="71"/>
    </row>
    <row r="620" spans="1:9" ht="15">
      <c r="A620" s="65" t="s">
        <v>410</v>
      </c>
      <c r="B620" s="184" t="s">
        <v>411</v>
      </c>
      <c r="C620" s="184"/>
      <c r="D620" s="68" t="s">
        <v>761</v>
      </c>
      <c r="E620" s="69"/>
      <c r="F620" s="70"/>
      <c r="G620" s="70"/>
      <c r="I620" s="101"/>
    </row>
    <row r="621" spans="1:9" s="21" customFormat="1">
      <c r="A621" s="65" t="s">
        <v>412</v>
      </c>
      <c r="B621" s="189" t="s">
        <v>544</v>
      </c>
      <c r="C621" s="189"/>
      <c r="D621" s="68" t="s">
        <v>756</v>
      </c>
      <c r="E621" s="69">
        <v>1</v>
      </c>
      <c r="F621" s="70">
        <v>1500</v>
      </c>
      <c r="G621" s="70">
        <f>E621*F621</f>
        <v>1500</v>
      </c>
      <c r="H621" s="40"/>
      <c r="I621" s="101"/>
    </row>
    <row r="622" spans="1:9">
      <c r="A622" s="65"/>
      <c r="B622" s="190" t="s">
        <v>525</v>
      </c>
      <c r="C622" s="188"/>
      <c r="D622" s="68"/>
      <c r="E622" s="69"/>
      <c r="F622" s="70"/>
      <c r="G622" s="74">
        <f>SUM(G621)</f>
        <v>1500</v>
      </c>
      <c r="H622" s="81"/>
      <c r="I622" s="71"/>
    </row>
    <row r="623" spans="1:9" ht="15">
      <c r="A623" s="65" t="s">
        <v>413</v>
      </c>
      <c r="B623" s="184" t="s">
        <v>414</v>
      </c>
      <c r="C623" s="184"/>
      <c r="D623" s="68" t="s">
        <v>761</v>
      </c>
      <c r="E623" s="69"/>
      <c r="F623" s="70"/>
      <c r="G623" s="70"/>
      <c r="H623" s="81">
        <v>0</v>
      </c>
      <c r="I623" s="71"/>
    </row>
    <row r="624" spans="1:9" ht="15">
      <c r="A624" s="65"/>
      <c r="B624" s="184" t="s">
        <v>545</v>
      </c>
      <c r="C624" s="184"/>
      <c r="D624" s="68"/>
      <c r="E624" s="69"/>
      <c r="F624" s="70"/>
      <c r="G624" s="70"/>
      <c r="H624" s="81">
        <v>0</v>
      </c>
      <c r="I624" s="71"/>
    </row>
    <row r="625" spans="1:9">
      <c r="A625" s="65" t="s">
        <v>415</v>
      </c>
      <c r="B625" s="189" t="s">
        <v>156</v>
      </c>
      <c r="C625" s="189"/>
      <c r="D625" s="68" t="s">
        <v>752</v>
      </c>
      <c r="E625" s="69">
        <v>2400</v>
      </c>
      <c r="F625" s="70">
        <v>3.26</v>
      </c>
      <c r="G625" s="70">
        <f>E625*F625</f>
        <v>7824</v>
      </c>
      <c r="H625" s="81"/>
      <c r="I625" s="71"/>
    </row>
    <row r="626" spans="1:9">
      <c r="A626" s="65" t="s">
        <v>154</v>
      </c>
      <c r="B626" s="189" t="s">
        <v>444</v>
      </c>
      <c r="C626" s="189"/>
      <c r="D626" s="68" t="s">
        <v>445</v>
      </c>
      <c r="E626" s="69">
        <v>64</v>
      </c>
      <c r="F626" s="70">
        <v>85</v>
      </c>
      <c r="G626" s="70">
        <f>E626*F626</f>
        <v>5440</v>
      </c>
      <c r="H626" s="81"/>
      <c r="I626" s="71"/>
    </row>
    <row r="627" spans="1:9">
      <c r="A627" s="65"/>
      <c r="B627" s="190" t="s">
        <v>525</v>
      </c>
      <c r="C627" s="188"/>
      <c r="D627" s="68"/>
      <c r="E627" s="69"/>
      <c r="F627" s="70"/>
      <c r="G627" s="74">
        <f>SUM(G625:G626)</f>
        <v>13264</v>
      </c>
      <c r="H627" s="81"/>
      <c r="I627" s="71"/>
    </row>
    <row r="628" spans="1:9" ht="15">
      <c r="A628" s="65" t="s">
        <v>416</v>
      </c>
      <c r="B628" s="184" t="s">
        <v>737</v>
      </c>
      <c r="C628" s="184"/>
      <c r="D628" s="68" t="s">
        <v>752</v>
      </c>
      <c r="E628" s="69">
        <v>2404</v>
      </c>
      <c r="F628" s="70">
        <v>3</v>
      </c>
      <c r="G628" s="70">
        <f>E628*F628</f>
        <v>7212</v>
      </c>
      <c r="H628" s="81"/>
      <c r="I628" s="71"/>
    </row>
    <row r="629" spans="1:9">
      <c r="A629" s="65"/>
      <c r="B629" s="190" t="s">
        <v>525</v>
      </c>
      <c r="C629" s="188"/>
      <c r="D629" s="68"/>
      <c r="E629" s="69"/>
      <c r="F629" s="70"/>
      <c r="G629" s="74">
        <f>SUM(G628)</f>
        <v>7212</v>
      </c>
      <c r="H629" s="100">
        <f>G630/H643</f>
        <v>7.0000000000000001E-3</v>
      </c>
      <c r="I629" s="71"/>
    </row>
    <row r="630" spans="1:9">
      <c r="A630" s="102"/>
      <c r="B630" s="191" t="s">
        <v>108</v>
      </c>
      <c r="C630" s="192"/>
      <c r="D630" s="82"/>
      <c r="E630" s="83"/>
      <c r="F630" s="84"/>
      <c r="G630" s="84">
        <f>SUM(G629+G627+G622)</f>
        <v>21976</v>
      </c>
      <c r="H630" s="84">
        <f>G630*1</f>
        <v>21976</v>
      </c>
      <c r="I630" s="71"/>
    </row>
    <row r="631" spans="1:9" ht="15">
      <c r="A631" s="65" t="s">
        <v>738</v>
      </c>
      <c r="B631" s="184" t="s">
        <v>739</v>
      </c>
      <c r="C631" s="184"/>
      <c r="D631" s="68" t="s">
        <v>761</v>
      </c>
      <c r="E631" s="69"/>
      <c r="F631" s="70"/>
      <c r="G631" s="70"/>
      <c r="H631" s="81"/>
      <c r="I631" s="71"/>
    </row>
    <row r="632" spans="1:9" ht="15">
      <c r="A632" s="65" t="s">
        <v>740</v>
      </c>
      <c r="B632" s="184" t="s">
        <v>741</v>
      </c>
      <c r="C632" s="184"/>
      <c r="D632" s="68" t="s">
        <v>777</v>
      </c>
      <c r="E632" s="69"/>
      <c r="F632" s="70"/>
      <c r="G632" s="70"/>
      <c r="H632" s="81"/>
      <c r="I632" s="71"/>
    </row>
    <row r="633" spans="1:9" ht="15">
      <c r="A633" s="65" t="s">
        <v>742</v>
      </c>
      <c r="B633" s="184" t="s">
        <v>743</v>
      </c>
      <c r="C633" s="184"/>
      <c r="D633" s="68" t="s">
        <v>777</v>
      </c>
      <c r="E633" s="69"/>
      <c r="F633" s="70"/>
      <c r="G633" s="70"/>
      <c r="H633" s="105"/>
      <c r="I633" s="71"/>
    </row>
    <row r="634" spans="1:9" s="21" customFormat="1">
      <c r="A634" s="65" t="s">
        <v>745</v>
      </c>
      <c r="B634" s="189" t="s">
        <v>486</v>
      </c>
      <c r="C634" s="189"/>
      <c r="D634" s="68" t="s">
        <v>744</v>
      </c>
      <c r="E634" s="69">
        <v>10</v>
      </c>
      <c r="F634" s="70">
        <v>7500</v>
      </c>
      <c r="G634" s="70">
        <f>E634*F634</f>
        <v>75000</v>
      </c>
      <c r="H634" s="105"/>
      <c r="I634" s="71"/>
    </row>
    <row r="635" spans="1:9">
      <c r="A635" s="65" t="s">
        <v>746</v>
      </c>
      <c r="B635" s="189" t="s">
        <v>155</v>
      </c>
      <c r="C635" s="189"/>
      <c r="D635" s="68" t="s">
        <v>744</v>
      </c>
      <c r="E635" s="69">
        <v>10</v>
      </c>
      <c r="F635" s="70">
        <v>5200</v>
      </c>
      <c r="G635" s="70">
        <f>E635*F635</f>
        <v>52000</v>
      </c>
      <c r="H635" s="81"/>
      <c r="I635" s="71"/>
    </row>
    <row r="636" spans="1:9">
      <c r="A636" s="65" t="s">
        <v>978</v>
      </c>
      <c r="B636" s="189" t="s">
        <v>549</v>
      </c>
      <c r="C636" s="189"/>
      <c r="D636" s="68" t="s">
        <v>744</v>
      </c>
      <c r="E636" s="69">
        <v>10</v>
      </c>
      <c r="F636" s="70">
        <v>3500</v>
      </c>
      <c r="G636" s="70">
        <f>E636*F636</f>
        <v>35000</v>
      </c>
      <c r="H636" s="81">
        <v>0</v>
      </c>
      <c r="I636" s="71"/>
    </row>
    <row r="637" spans="1:9">
      <c r="A637" s="65" t="s">
        <v>979</v>
      </c>
      <c r="B637" s="189" t="s">
        <v>150</v>
      </c>
      <c r="C637" s="189"/>
      <c r="D637" s="68" t="s">
        <v>744</v>
      </c>
      <c r="E637" s="69">
        <v>10</v>
      </c>
      <c r="F637" s="70">
        <v>2800</v>
      </c>
      <c r="G637" s="70">
        <f>E637*F637</f>
        <v>28000</v>
      </c>
      <c r="H637" s="81">
        <v>0</v>
      </c>
      <c r="I637" s="71"/>
    </row>
    <row r="638" spans="1:9">
      <c r="A638" s="65"/>
      <c r="B638" s="190" t="s">
        <v>525</v>
      </c>
      <c r="C638" s="188"/>
      <c r="D638" s="68"/>
      <c r="E638" s="69"/>
      <c r="F638" s="70"/>
      <c r="G638" s="74">
        <f>SUM(G634:G637)</f>
        <v>190000</v>
      </c>
      <c r="H638" s="100">
        <f>G639/H643</f>
        <v>6.0299999999999999E-2</v>
      </c>
      <c r="I638" s="71"/>
    </row>
    <row r="639" spans="1:9">
      <c r="A639" s="102"/>
      <c r="B639" s="191" t="s">
        <v>108</v>
      </c>
      <c r="C639" s="192"/>
      <c r="D639" s="82"/>
      <c r="E639" s="83"/>
      <c r="F639" s="84"/>
      <c r="G639" s="84">
        <f>SUM(+G638)</f>
        <v>190000</v>
      </c>
      <c r="H639" s="84">
        <f>G639*1</f>
        <v>190000</v>
      </c>
      <c r="I639" s="71"/>
    </row>
    <row r="640" spans="1:9">
      <c r="A640" s="65"/>
      <c r="B640" s="85"/>
      <c r="C640" s="85"/>
      <c r="D640" s="68"/>
      <c r="E640" s="69"/>
      <c r="F640" s="70"/>
      <c r="G640" s="70"/>
      <c r="H640" s="81"/>
      <c r="I640" s="71"/>
    </row>
    <row r="641" spans="1:13" ht="15">
      <c r="A641" s="106"/>
      <c r="B641" s="86" t="s">
        <v>476</v>
      </c>
      <c r="C641" s="86"/>
      <c r="D641" s="87"/>
      <c r="E641" s="88"/>
      <c r="F641" s="89"/>
      <c r="G641" s="90"/>
      <c r="H641" s="96">
        <f>SUM(H639+H630+H617+H589+H489+H362+H275+H111+H41+H13)</f>
        <v>2624313.0299999998</v>
      </c>
      <c r="I641" s="71"/>
    </row>
    <row r="642" spans="1:13" ht="15">
      <c r="A642" s="106"/>
      <c r="B642" s="86" t="s">
        <v>620</v>
      </c>
      <c r="C642" s="86"/>
      <c r="D642" s="87"/>
      <c r="E642" s="88"/>
      <c r="F642" s="89"/>
      <c r="G642" s="90"/>
      <c r="H642" s="96">
        <f>H641*20/100</f>
        <v>524862.61</v>
      </c>
      <c r="I642" s="101">
        <f>H642/H643</f>
        <v>0.16669999999999999</v>
      </c>
    </row>
    <row r="643" spans="1:13" s="21" customFormat="1" ht="15">
      <c r="A643" s="106"/>
      <c r="B643" s="86" t="s">
        <v>546</v>
      </c>
      <c r="C643" s="86"/>
      <c r="D643" s="87"/>
      <c r="E643" s="88"/>
      <c r="F643" s="89"/>
      <c r="G643" s="84"/>
      <c r="H643" s="96">
        <f>SUM(H641:H642)</f>
        <v>3149175.64</v>
      </c>
      <c r="I643" s="107">
        <f>SUM(I642+H638+H616+H588++H488+H361+H274+H110+H40+H629+H12)</f>
        <v>1</v>
      </c>
    </row>
    <row r="644" spans="1:13" s="15" customFormat="1">
      <c r="A644" s="108" t="s">
        <v>614</v>
      </c>
      <c r="B644" s="196"/>
      <c r="C644" s="196"/>
      <c r="D644" s="196"/>
      <c r="E644" s="196"/>
      <c r="F644" s="93"/>
      <c r="G644" s="92"/>
      <c r="H644" s="92"/>
      <c r="I644" s="109"/>
      <c r="J644" s="14"/>
      <c r="K644" s="14"/>
      <c r="L644" s="14"/>
      <c r="M644" s="14"/>
    </row>
    <row r="645" spans="1:13" s="6" customFormat="1" ht="12.75">
      <c r="A645" s="110" t="s">
        <v>615</v>
      </c>
      <c r="B645" s="195" t="s">
        <v>194</v>
      </c>
      <c r="C645" s="195"/>
      <c r="D645" s="195"/>
      <c r="E645" s="95"/>
      <c r="F645" s="93"/>
      <c r="G645" s="92"/>
      <c r="H645" s="91"/>
      <c r="I645" s="111"/>
      <c r="J645" s="7"/>
      <c r="K645" s="7"/>
      <c r="L645" s="7"/>
      <c r="M645" s="7"/>
    </row>
    <row r="646" spans="1:13" s="6" customFormat="1" ht="12.75">
      <c r="A646" s="110" t="s">
        <v>616</v>
      </c>
      <c r="B646" s="195" t="s">
        <v>112</v>
      </c>
      <c r="C646" s="195"/>
      <c r="D646" s="195"/>
      <c r="E646" s="95"/>
      <c r="F646" s="93"/>
      <c r="G646" s="92"/>
      <c r="H646" s="91"/>
      <c r="I646" s="111"/>
      <c r="J646" s="7"/>
      <c r="K646" s="7"/>
      <c r="L646" s="7"/>
      <c r="M646" s="7"/>
    </row>
    <row r="647" spans="1:13" s="6" customFormat="1" ht="12.75">
      <c r="A647" s="110" t="s">
        <v>617</v>
      </c>
      <c r="B647" s="195" t="s">
        <v>106</v>
      </c>
      <c r="C647" s="195"/>
      <c r="D647" s="195"/>
      <c r="E647" s="94"/>
      <c r="F647" s="93"/>
      <c r="G647" s="92"/>
      <c r="H647" s="91"/>
      <c r="I647" s="111"/>
      <c r="J647" s="7"/>
      <c r="K647" s="7"/>
      <c r="L647" s="7"/>
      <c r="M647" s="7"/>
    </row>
    <row r="648" spans="1:13" s="9" customFormat="1" ht="12.75">
      <c r="A648" s="110" t="s">
        <v>110</v>
      </c>
      <c r="B648" s="195" t="s">
        <v>107</v>
      </c>
      <c r="C648" s="195"/>
      <c r="D648" s="195"/>
      <c r="E648" s="94"/>
      <c r="F648" s="93"/>
      <c r="G648" s="92"/>
      <c r="H648" s="91"/>
      <c r="I648" s="111"/>
      <c r="J648" s="8"/>
      <c r="K648" s="8"/>
      <c r="L648" s="8"/>
      <c r="M648" s="8"/>
    </row>
    <row r="649" spans="1:13" s="9" customFormat="1" ht="12.75">
      <c r="A649" s="110" t="s">
        <v>111</v>
      </c>
      <c r="B649" s="198" t="s">
        <v>519</v>
      </c>
      <c r="C649" s="199"/>
      <c r="D649" s="200"/>
      <c r="E649" s="94"/>
      <c r="F649" s="93"/>
      <c r="G649" s="92"/>
      <c r="H649" s="91"/>
      <c r="I649" s="111"/>
      <c r="J649" s="8"/>
      <c r="K649" s="8"/>
      <c r="L649" s="8"/>
      <c r="M649" s="8"/>
    </row>
    <row r="650" spans="1:13" s="9" customFormat="1">
      <c r="A650" s="110" t="s">
        <v>598</v>
      </c>
      <c r="B650" s="129" t="s">
        <v>109</v>
      </c>
      <c r="C650" s="112"/>
      <c r="D650" s="122"/>
      <c r="E650" s="123"/>
      <c r="F650" s="124"/>
      <c r="G650" s="125"/>
      <c r="H650" s="126"/>
      <c r="I650" s="127"/>
      <c r="J650" s="8"/>
      <c r="K650" s="8"/>
      <c r="L650" s="8"/>
      <c r="M650" s="8"/>
    </row>
    <row r="651" spans="1:13" s="1" customFormat="1">
      <c r="A651" s="110" t="s">
        <v>599</v>
      </c>
      <c r="B651" s="128" t="s">
        <v>600</v>
      </c>
      <c r="C651" s="112"/>
      <c r="D651" s="113"/>
      <c r="E651" s="113"/>
      <c r="F651" s="113"/>
      <c r="G651" s="113"/>
      <c r="H651" s="72"/>
      <c r="I651" s="114"/>
    </row>
  </sheetData>
  <mergeCells count="631">
    <mergeCell ref="I6:I7"/>
    <mergeCell ref="B454:C454"/>
    <mergeCell ref="B455:C455"/>
    <mergeCell ref="B384:C384"/>
    <mergeCell ref="B385:C385"/>
    <mergeCell ref="B386:C386"/>
    <mergeCell ref="B448:C448"/>
    <mergeCell ref="B449:C449"/>
    <mergeCell ref="B442:C442"/>
    <mergeCell ref="B443:C443"/>
    <mergeCell ref="B435:C435"/>
    <mergeCell ref="B382:C382"/>
    <mergeCell ref="B383:C383"/>
    <mergeCell ref="B381:C381"/>
    <mergeCell ref="B434:C434"/>
    <mergeCell ref="B436:C436"/>
    <mergeCell ref="B437:C437"/>
    <mergeCell ref="B430:C430"/>
    <mergeCell ref="B431:C431"/>
    <mergeCell ref="B432:C432"/>
    <mergeCell ref="B425:C425"/>
    <mergeCell ref="B460:C460"/>
    <mergeCell ref="B456:C456"/>
    <mergeCell ref="B445:C445"/>
    <mergeCell ref="B438:C438"/>
    <mergeCell ref="B439:C439"/>
    <mergeCell ref="B440:C440"/>
    <mergeCell ref="B441:C441"/>
    <mergeCell ref="B446:C446"/>
    <mergeCell ref="B447:C447"/>
    <mergeCell ref="B458:C458"/>
    <mergeCell ref="B459:C459"/>
    <mergeCell ref="B457:C457"/>
    <mergeCell ref="B450:C450"/>
    <mergeCell ref="B451:C451"/>
    <mergeCell ref="B452:C452"/>
    <mergeCell ref="B453:C453"/>
    <mergeCell ref="B444:C444"/>
    <mergeCell ref="B470:C470"/>
    <mergeCell ref="B288:C288"/>
    <mergeCell ref="B289:C289"/>
    <mergeCell ref="B290:C290"/>
    <mergeCell ref="B291:C291"/>
    <mergeCell ref="B292:C292"/>
    <mergeCell ref="B304:C304"/>
    <mergeCell ref="B303:C303"/>
    <mergeCell ref="B313:C313"/>
    <mergeCell ref="B310:C310"/>
    <mergeCell ref="B354:C354"/>
    <mergeCell ref="B355:C355"/>
    <mergeCell ref="B356:C356"/>
    <mergeCell ref="B357:C357"/>
    <mergeCell ref="B294:C294"/>
    <mergeCell ref="B307:C307"/>
    <mergeCell ref="B299:C299"/>
    <mergeCell ref="B300:C300"/>
    <mergeCell ref="B327:C327"/>
    <mergeCell ref="B297:C297"/>
    <mergeCell ref="B389:C389"/>
    <mergeCell ref="B409:C409"/>
    <mergeCell ref="B358:C358"/>
    <mergeCell ref="B380:C380"/>
    <mergeCell ref="B464:C464"/>
    <mergeCell ref="B467:C467"/>
    <mergeCell ref="B468:C468"/>
    <mergeCell ref="B469:C469"/>
    <mergeCell ref="B315:C315"/>
    <mergeCell ref="B253:C253"/>
    <mergeCell ref="B254:C254"/>
    <mergeCell ref="B259:C259"/>
    <mergeCell ref="B255:C255"/>
    <mergeCell ref="B256:C256"/>
    <mergeCell ref="B369:C369"/>
    <mergeCell ref="B370:C370"/>
    <mergeCell ref="B374:C374"/>
    <mergeCell ref="B375:C375"/>
    <mergeCell ref="B376:C376"/>
    <mergeCell ref="B379:C379"/>
    <mergeCell ref="B394:C394"/>
    <mergeCell ref="B395:C395"/>
    <mergeCell ref="B396:C396"/>
    <mergeCell ref="B397:C397"/>
    <mergeCell ref="B390:C390"/>
    <mergeCell ref="B391:C391"/>
    <mergeCell ref="B392:C392"/>
    <mergeCell ref="B393:C393"/>
    <mergeCell ref="B305:C305"/>
    <mergeCell ref="B293:C293"/>
    <mergeCell ref="B298:C298"/>
    <mergeCell ref="B316:C316"/>
    <mergeCell ref="B461:C461"/>
    <mergeCell ref="B349:C349"/>
    <mergeCell ref="B318:C318"/>
    <mergeCell ref="B319:C319"/>
    <mergeCell ref="B326:C326"/>
    <mergeCell ref="B402:C402"/>
    <mergeCell ref="B403:C403"/>
    <mergeCell ref="B404:C404"/>
    <mergeCell ref="B398:C398"/>
    <mergeCell ref="B399:C399"/>
    <mergeCell ref="B400:C400"/>
    <mergeCell ref="B401:C401"/>
    <mergeCell ref="B405:C405"/>
    <mergeCell ref="B411:C411"/>
    <mergeCell ref="B412:C412"/>
    <mergeCell ref="B413:C413"/>
    <mergeCell ref="B406:C406"/>
    <mergeCell ref="B407:C407"/>
    <mergeCell ref="B408:C408"/>
    <mergeCell ref="B418:C418"/>
    <mergeCell ref="B388:C388"/>
    <mergeCell ref="B462:C462"/>
    <mergeCell ref="B463:C463"/>
    <mergeCell ref="B366:C366"/>
    <mergeCell ref="B367:C367"/>
    <mergeCell ref="B368:C368"/>
    <mergeCell ref="B371:C371"/>
    <mergeCell ref="B372:C372"/>
    <mergeCell ref="B373:C373"/>
    <mergeCell ref="B419:C419"/>
    <mergeCell ref="B420:C420"/>
    <mergeCell ref="B421:C421"/>
    <mergeCell ref="B414:C414"/>
    <mergeCell ref="B415:C415"/>
    <mergeCell ref="B416:C416"/>
    <mergeCell ref="B417:C417"/>
    <mergeCell ref="B433:C433"/>
    <mergeCell ref="B426:C426"/>
    <mergeCell ref="B427:C427"/>
    <mergeCell ref="B428:C428"/>
    <mergeCell ref="B429:C429"/>
    <mergeCell ref="B422:C422"/>
    <mergeCell ref="B423:C423"/>
    <mergeCell ref="B424:C424"/>
    <mergeCell ref="B584:C584"/>
    <mergeCell ref="B585:C585"/>
    <mergeCell ref="B579:C579"/>
    <mergeCell ref="B580:C580"/>
    <mergeCell ref="B570:C570"/>
    <mergeCell ref="B564:C564"/>
    <mergeCell ref="B565:C565"/>
    <mergeCell ref="B566:C566"/>
    <mergeCell ref="B567:C567"/>
    <mergeCell ref="B568:C568"/>
    <mergeCell ref="B569:C569"/>
    <mergeCell ref="B578:C578"/>
    <mergeCell ref="B609:C609"/>
    <mergeCell ref="B615:C615"/>
    <mergeCell ref="B610:C610"/>
    <mergeCell ref="B611:C611"/>
    <mergeCell ref="B612:C612"/>
    <mergeCell ref="B613:C613"/>
    <mergeCell ref="B614:C614"/>
    <mergeCell ref="B603:C603"/>
    <mergeCell ref="B599:C599"/>
    <mergeCell ref="B600:C600"/>
    <mergeCell ref="B601:C601"/>
    <mergeCell ref="B602:C602"/>
    <mergeCell ref="B606:C606"/>
    <mergeCell ref="B607:C607"/>
    <mergeCell ref="B608:C608"/>
    <mergeCell ref="B604:C604"/>
    <mergeCell ref="B605:C605"/>
    <mergeCell ref="B574:C574"/>
    <mergeCell ref="B575:C575"/>
    <mergeCell ref="B576:C576"/>
    <mergeCell ref="B577:C577"/>
    <mergeCell ref="B588:C588"/>
    <mergeCell ref="B598:C598"/>
    <mergeCell ref="B597:C597"/>
    <mergeCell ref="B594:C594"/>
    <mergeCell ref="B595:C595"/>
    <mergeCell ref="B596:C596"/>
    <mergeCell ref="B590:C590"/>
    <mergeCell ref="B591:C591"/>
    <mergeCell ref="B593:C593"/>
    <mergeCell ref="B592:C592"/>
    <mergeCell ref="B586:C586"/>
    <mergeCell ref="B582:C582"/>
    <mergeCell ref="B587:C587"/>
    <mergeCell ref="B581:C581"/>
    <mergeCell ref="B583:C583"/>
    <mergeCell ref="B573:C573"/>
    <mergeCell ref="B344:C344"/>
    <mergeCell ref="B345:C345"/>
    <mergeCell ref="B346:C346"/>
    <mergeCell ref="B559:C559"/>
    <mergeCell ref="B560:C560"/>
    <mergeCell ref="B561:C561"/>
    <mergeCell ref="B562:C562"/>
    <mergeCell ref="B572:C572"/>
    <mergeCell ref="B348:C348"/>
    <mergeCell ref="B472:C472"/>
    <mergeCell ref="B473:C473"/>
    <mergeCell ref="B347:C347"/>
    <mergeCell ref="B480:C480"/>
    <mergeCell ref="B481:C481"/>
    <mergeCell ref="B482:C482"/>
    <mergeCell ref="B476:C476"/>
    <mergeCell ref="B477:C477"/>
    <mergeCell ref="B478:C478"/>
    <mergeCell ref="B479:C479"/>
    <mergeCell ref="B474:C474"/>
    <mergeCell ref="B475:C475"/>
    <mergeCell ref="B377:C377"/>
    <mergeCell ref="B378:C378"/>
    <mergeCell ref="B551:C551"/>
    <mergeCell ref="B556:C556"/>
    <mergeCell ref="B557:C557"/>
    <mergeCell ref="B571:C571"/>
    <mergeCell ref="B563:C563"/>
    <mergeCell ref="B558:C558"/>
    <mergeCell ref="B552:C552"/>
    <mergeCell ref="B553:C553"/>
    <mergeCell ref="B554:C554"/>
    <mergeCell ref="B555:C555"/>
    <mergeCell ref="B542:C542"/>
    <mergeCell ref="B535:C535"/>
    <mergeCell ref="B536:C536"/>
    <mergeCell ref="B537:C537"/>
    <mergeCell ref="B538:C538"/>
    <mergeCell ref="B547:C547"/>
    <mergeCell ref="B548:C548"/>
    <mergeCell ref="B549:C549"/>
    <mergeCell ref="B550:C550"/>
    <mergeCell ref="B543:C543"/>
    <mergeCell ref="B544:C544"/>
    <mergeCell ref="B545:C545"/>
    <mergeCell ref="B546:C546"/>
    <mergeCell ref="B533:C533"/>
    <mergeCell ref="B534:C534"/>
    <mergeCell ref="B527:C527"/>
    <mergeCell ref="B528:C528"/>
    <mergeCell ref="B529:C529"/>
    <mergeCell ref="B530:C530"/>
    <mergeCell ref="B539:C539"/>
    <mergeCell ref="B540:C540"/>
    <mergeCell ref="B541:C541"/>
    <mergeCell ref="B524:C524"/>
    <mergeCell ref="B525:C525"/>
    <mergeCell ref="B526:C526"/>
    <mergeCell ref="B519:C519"/>
    <mergeCell ref="B520:C520"/>
    <mergeCell ref="B521:C521"/>
    <mergeCell ref="B522:C522"/>
    <mergeCell ref="B531:C531"/>
    <mergeCell ref="B532:C532"/>
    <mergeCell ref="B338:C338"/>
    <mergeCell ref="B339:C339"/>
    <mergeCell ref="B323:C323"/>
    <mergeCell ref="B322:C322"/>
    <mergeCell ref="B515:C515"/>
    <mergeCell ref="B516:C516"/>
    <mergeCell ref="B517:C517"/>
    <mergeCell ref="B518:C518"/>
    <mergeCell ref="B511:C511"/>
    <mergeCell ref="B512:C512"/>
    <mergeCell ref="B513:C513"/>
    <mergeCell ref="B514:C514"/>
    <mergeCell ref="B337:C337"/>
    <mergeCell ref="B328:C328"/>
    <mergeCell ref="B329:C329"/>
    <mergeCell ref="B331:C331"/>
    <mergeCell ref="B334:C334"/>
    <mergeCell ref="B332:C332"/>
    <mergeCell ref="B333:C333"/>
    <mergeCell ref="B410:C410"/>
    <mergeCell ref="B471:C471"/>
    <mergeCell ref="B465:C465"/>
    <mergeCell ref="B466:C466"/>
    <mergeCell ref="B387:C387"/>
    <mergeCell ref="B137:C137"/>
    <mergeCell ref="B116:C116"/>
    <mergeCell ref="B143:C143"/>
    <mergeCell ref="B124:C124"/>
    <mergeCell ref="B125:C125"/>
    <mergeCell ref="B123:C123"/>
    <mergeCell ref="B136:C136"/>
    <mergeCell ref="B204:C204"/>
    <mergeCell ref="B206:C206"/>
    <mergeCell ref="B194:C194"/>
    <mergeCell ref="B196:C196"/>
    <mergeCell ref="B144:C144"/>
    <mergeCell ref="B133:C133"/>
    <mergeCell ref="B134:C134"/>
    <mergeCell ref="B135:C135"/>
    <mergeCell ref="B140:C140"/>
    <mergeCell ref="B138:C138"/>
    <mergeCell ref="B193:C193"/>
    <mergeCell ref="B201:C201"/>
    <mergeCell ref="B202:C202"/>
    <mergeCell ref="B1:D1"/>
    <mergeCell ref="B37:C37"/>
    <mergeCell ref="B33:C33"/>
    <mergeCell ref="B27:C27"/>
    <mergeCell ref="B28:C28"/>
    <mergeCell ref="B29:C29"/>
    <mergeCell ref="B114:C114"/>
    <mergeCell ref="B109:C109"/>
    <mergeCell ref="B110:C110"/>
    <mergeCell ref="B113:C113"/>
    <mergeCell ref="B30:C30"/>
    <mergeCell ref="B8:C8"/>
    <mergeCell ref="B50:C50"/>
    <mergeCell ref="B75:C75"/>
    <mergeCell ref="B38:C38"/>
    <mergeCell ref="B41:C41"/>
    <mergeCell ref="B92:C92"/>
    <mergeCell ref="B90:C90"/>
    <mergeCell ref="B95:C95"/>
    <mergeCell ref="B91:C91"/>
    <mergeCell ref="B2:D2"/>
    <mergeCell ref="B6:C7"/>
    <mergeCell ref="B11:C11"/>
    <mergeCell ref="B51:C51"/>
    <mergeCell ref="A6:A7"/>
    <mergeCell ref="B42:C42"/>
    <mergeCell ref="B43:C43"/>
    <mergeCell ref="B34:C34"/>
    <mergeCell ref="B40:C40"/>
    <mergeCell ref="B36:C36"/>
    <mergeCell ref="B39:C39"/>
    <mergeCell ref="B12:C12"/>
    <mergeCell ref="B22:C22"/>
    <mergeCell ref="B26:C26"/>
    <mergeCell ref="B13:C13"/>
    <mergeCell ref="B14:C14"/>
    <mergeCell ref="B15:C15"/>
    <mergeCell ref="B16:C16"/>
    <mergeCell ref="B31:C31"/>
    <mergeCell ref="H6:H7"/>
    <mergeCell ref="D6:D7"/>
    <mergeCell ref="B24:C24"/>
    <mergeCell ref="B25:C25"/>
    <mergeCell ref="B18:C18"/>
    <mergeCell ref="B19:C19"/>
    <mergeCell ref="B20:C20"/>
    <mergeCell ref="B21:C21"/>
    <mergeCell ref="B17:C17"/>
    <mergeCell ref="B23:C23"/>
    <mergeCell ref="B649:D649"/>
    <mergeCell ref="B69:C69"/>
    <mergeCell ref="B70:C70"/>
    <mergeCell ref="B78:C78"/>
    <mergeCell ref="B79:C79"/>
    <mergeCell ref="B81:C81"/>
    <mergeCell ref="B111:C111"/>
    <mergeCell ref="B112:C112"/>
    <mergeCell ref="B121:C121"/>
    <mergeCell ref="B115:C115"/>
    <mergeCell ref="B107:C107"/>
    <mergeCell ref="B97:C97"/>
    <mergeCell ref="B89:C89"/>
    <mergeCell ref="B108:C108"/>
    <mergeCell ref="B76:C76"/>
    <mergeCell ref="B105:C105"/>
    <mergeCell ref="B87:C87"/>
    <mergeCell ref="B106:C106"/>
    <mergeCell ref="B96:C96"/>
    <mergeCell ref="B88:C88"/>
    <mergeCell ref="B146:C146"/>
    <mergeCell ref="B145:C145"/>
    <mergeCell ref="B126:C126"/>
    <mergeCell ref="B127:C127"/>
    <mergeCell ref="B148:C148"/>
    <mergeCell ref="B131:C131"/>
    <mergeCell ref="B132:C132"/>
    <mergeCell ref="B129:C129"/>
    <mergeCell ref="B130:C130"/>
    <mergeCell ref="B147:C147"/>
    <mergeCell ref="B150:C150"/>
    <mergeCell ref="B72:C72"/>
    <mergeCell ref="B58:C58"/>
    <mergeCell ref="B59:C59"/>
    <mergeCell ref="B60:C60"/>
    <mergeCell ref="B66:C66"/>
    <mergeCell ref="B67:C67"/>
    <mergeCell ref="B68:C68"/>
    <mergeCell ref="B61:C61"/>
    <mergeCell ref="B128:C128"/>
    <mergeCell ref="B117:C117"/>
    <mergeCell ref="B118:C118"/>
    <mergeCell ref="B119:C119"/>
    <mergeCell ref="B122:C122"/>
    <mergeCell ref="B120:C120"/>
    <mergeCell ref="B139:C139"/>
    <mergeCell ref="B141:C141"/>
    <mergeCell ref="B142:C142"/>
    <mergeCell ref="B155:C155"/>
    <mergeCell ref="B156:C156"/>
    <mergeCell ref="B157:C157"/>
    <mergeCell ref="B160:C160"/>
    <mergeCell ref="B161:C161"/>
    <mergeCell ref="B162:C162"/>
    <mergeCell ref="B158:C158"/>
    <mergeCell ref="B151:C151"/>
    <mergeCell ref="B149:C149"/>
    <mergeCell ref="B152:C152"/>
    <mergeCell ref="B153:C153"/>
    <mergeCell ref="B154:C154"/>
    <mergeCell ref="B159:C159"/>
    <mergeCell ref="B166:C166"/>
    <mergeCell ref="B182:C182"/>
    <mergeCell ref="B173:C173"/>
    <mergeCell ref="B167:C167"/>
    <mergeCell ref="B169:C169"/>
    <mergeCell ref="B168:C168"/>
    <mergeCell ref="B170:C170"/>
    <mergeCell ref="B171:C171"/>
    <mergeCell ref="B172:C172"/>
    <mergeCell ref="B163:C163"/>
    <mergeCell ref="B164:C164"/>
    <mergeCell ref="B165:C165"/>
    <mergeCell ref="B183:C183"/>
    <mergeCell ref="B179:C179"/>
    <mergeCell ref="B174:C174"/>
    <mergeCell ref="B175:C175"/>
    <mergeCell ref="B176:C176"/>
    <mergeCell ref="B177:C177"/>
    <mergeCell ref="B178:C178"/>
    <mergeCell ref="B180:C180"/>
    <mergeCell ref="B181:C181"/>
    <mergeCell ref="B195:C195"/>
    <mergeCell ref="B248:C248"/>
    <mergeCell ref="B246:C246"/>
    <mergeCell ref="B238:C238"/>
    <mergeCell ref="B221:C221"/>
    <mergeCell ref="B222:C222"/>
    <mergeCell ref="B184:C184"/>
    <mergeCell ref="B191:C191"/>
    <mergeCell ref="B192:C192"/>
    <mergeCell ref="B185:C185"/>
    <mergeCell ref="B189:C189"/>
    <mergeCell ref="B190:C190"/>
    <mergeCell ref="B186:C186"/>
    <mergeCell ref="B187:C187"/>
    <mergeCell ref="B188:C188"/>
    <mergeCell ref="B235:C235"/>
    <mergeCell ref="B237:C237"/>
    <mergeCell ref="B233:C233"/>
    <mergeCell ref="B239:C239"/>
    <mergeCell ref="B214:C214"/>
    <mergeCell ref="B215:C215"/>
    <mergeCell ref="B216:C216"/>
    <mergeCell ref="B240:C240"/>
    <mergeCell ref="B231:C231"/>
    <mergeCell ref="B212:C212"/>
    <mergeCell ref="B275:C275"/>
    <mergeCell ref="B276:C276"/>
    <mergeCell ref="B252:C252"/>
    <mergeCell ref="B251:C251"/>
    <mergeCell ref="B257:C257"/>
    <mergeCell ref="B274:C274"/>
    <mergeCell ref="B197:C197"/>
    <mergeCell ref="B200:C200"/>
    <mergeCell ref="B199:C199"/>
    <mergeCell ref="B198:C198"/>
    <mergeCell ref="B234:C234"/>
    <mergeCell ref="B258:C258"/>
    <mergeCell ref="B269:C269"/>
    <mergeCell ref="B277:C277"/>
    <mergeCell ref="B264:C264"/>
    <mergeCell ref="B268:C268"/>
    <mergeCell ref="B266:C266"/>
    <mergeCell ref="B265:C265"/>
    <mergeCell ref="B267:C267"/>
    <mergeCell ref="B271:C271"/>
    <mergeCell ref="B270:C270"/>
    <mergeCell ref="B272:C272"/>
    <mergeCell ref="B340:C340"/>
    <mergeCell ref="B341:C341"/>
    <mergeCell ref="B342:C342"/>
    <mergeCell ref="B343:C343"/>
    <mergeCell ref="B484:C484"/>
    <mergeCell ref="B485:C485"/>
    <mergeCell ref="B273:C273"/>
    <mergeCell ref="B278:C278"/>
    <mergeCell ref="B308:C308"/>
    <mergeCell ref="B314:C314"/>
    <mergeCell ref="B317:C317"/>
    <mergeCell ref="B306:C306"/>
    <mergeCell ref="B301:C301"/>
    <mergeCell ref="B302:C302"/>
    <mergeCell ref="B295:C295"/>
    <mergeCell ref="B296:C296"/>
    <mergeCell ref="B309:C309"/>
    <mergeCell ref="B330:C330"/>
    <mergeCell ref="B324:C324"/>
    <mergeCell ref="B325:C325"/>
    <mergeCell ref="B311:C311"/>
    <mergeCell ref="B312:C312"/>
    <mergeCell ref="B320:C320"/>
    <mergeCell ref="B321:C321"/>
    <mergeCell ref="B504:C504"/>
    <mergeCell ref="B497:C497"/>
    <mergeCell ref="B617:C617"/>
    <mergeCell ref="B488:C488"/>
    <mergeCell ref="B352:C352"/>
    <mergeCell ref="B353:C353"/>
    <mergeCell ref="B359:C359"/>
    <mergeCell ref="B360:C360"/>
    <mergeCell ref="B495:C495"/>
    <mergeCell ref="B496:C496"/>
    <mergeCell ref="B493:C493"/>
    <mergeCell ref="B616:C616"/>
    <mergeCell ref="B486:C486"/>
    <mergeCell ref="B483:C483"/>
    <mergeCell ref="B362:C362"/>
    <mergeCell ref="B363:C363"/>
    <mergeCell ref="B364:C364"/>
    <mergeCell ref="B365:C365"/>
    <mergeCell ref="B508:C508"/>
    <mergeCell ref="B509:C509"/>
    <mergeCell ref="B510:C510"/>
    <mergeCell ref="B487:C487"/>
    <mergeCell ref="B361:C361"/>
    <mergeCell ref="B523:C523"/>
    <mergeCell ref="B44:C44"/>
    <mergeCell ref="B45:C45"/>
    <mergeCell ref="B47:C47"/>
    <mergeCell ref="B48:C48"/>
    <mergeCell ref="B624:C624"/>
    <mergeCell ref="B638:C638"/>
    <mergeCell ref="B639:C639"/>
    <mergeCell ref="B647:D647"/>
    <mergeCell ref="B648:D648"/>
    <mergeCell ref="B645:D645"/>
    <mergeCell ref="B646:D646"/>
    <mergeCell ref="B644:E644"/>
    <mergeCell ref="B625:C625"/>
    <mergeCell ref="B626:C626"/>
    <mergeCell ref="B491:C491"/>
    <mergeCell ref="B492:C492"/>
    <mergeCell ref="B636:C636"/>
    <mergeCell ref="B637:C637"/>
    <mergeCell ref="B633:C633"/>
    <mergeCell ref="B635:C635"/>
    <mergeCell ref="B618:C618"/>
    <mergeCell ref="B622:C622"/>
    <mergeCell ref="B629:C629"/>
    <mergeCell ref="B628:C628"/>
    <mergeCell ref="B74:C74"/>
    <mergeCell ref="B62:C62"/>
    <mergeCell ref="B63:C63"/>
    <mergeCell ref="B64:C64"/>
    <mergeCell ref="B65:C65"/>
    <mergeCell ref="B73:C73"/>
    <mergeCell ref="B71:C71"/>
    <mergeCell ref="B46:C46"/>
    <mergeCell ref="B49:C49"/>
    <mergeCell ref="B53:C53"/>
    <mergeCell ref="B55:C55"/>
    <mergeCell ref="B56:C56"/>
    <mergeCell ref="B57:C57"/>
    <mergeCell ref="B54:C54"/>
    <mergeCell ref="B52:C52"/>
    <mergeCell ref="B77:C77"/>
    <mergeCell ref="B83:C83"/>
    <mergeCell ref="B80:C80"/>
    <mergeCell ref="B98:C98"/>
    <mergeCell ref="B86:C86"/>
    <mergeCell ref="B82:C82"/>
    <mergeCell ref="B84:C84"/>
    <mergeCell ref="B85:C85"/>
    <mergeCell ref="B93:C93"/>
    <mergeCell ref="B94:C94"/>
    <mergeCell ref="B218:C218"/>
    <mergeCell ref="B217:C217"/>
    <mergeCell ref="B219:C219"/>
    <mergeCell ref="B220:C220"/>
    <mergeCell ref="B229:C229"/>
    <mergeCell ref="B250:C250"/>
    <mergeCell ref="B243:C243"/>
    <mergeCell ref="B244:C244"/>
    <mergeCell ref="B245:C245"/>
    <mergeCell ref="B247:C247"/>
    <mergeCell ref="B236:C236"/>
    <mergeCell ref="B230:C230"/>
    <mergeCell ref="B241:C241"/>
    <mergeCell ref="B232:C232"/>
    <mergeCell ref="B227:C227"/>
    <mergeCell ref="B228:C228"/>
    <mergeCell ref="B223:C223"/>
    <mergeCell ref="B627:C627"/>
    <mergeCell ref="B619:C619"/>
    <mergeCell ref="B621:C621"/>
    <mergeCell ref="B631:C631"/>
    <mergeCell ref="B632:C632"/>
    <mergeCell ref="B634:C634"/>
    <mergeCell ref="B630:C630"/>
    <mergeCell ref="B242:C242"/>
    <mergeCell ref="B249:C249"/>
    <mergeCell ref="B505:C505"/>
    <mergeCell ref="B506:C506"/>
    <mergeCell ref="B507:C507"/>
    <mergeCell ref="B350:C350"/>
    <mergeCell ref="B351:C351"/>
    <mergeCell ref="B589:C589"/>
    <mergeCell ref="B499:C499"/>
    <mergeCell ref="B498:C498"/>
    <mergeCell ref="B489:C489"/>
    <mergeCell ref="B490:C490"/>
    <mergeCell ref="B494:C494"/>
    <mergeCell ref="B500:C500"/>
    <mergeCell ref="B501:C501"/>
    <mergeCell ref="B502:C502"/>
    <mergeCell ref="B503:C503"/>
    <mergeCell ref="A3:C3"/>
    <mergeCell ref="C4:E4"/>
    <mergeCell ref="B623:C623"/>
    <mergeCell ref="B620:C620"/>
    <mergeCell ref="B99:C99"/>
    <mergeCell ref="B102:C102"/>
    <mergeCell ref="B103:C103"/>
    <mergeCell ref="B263:C263"/>
    <mergeCell ref="B261:C261"/>
    <mergeCell ref="B262:C262"/>
    <mergeCell ref="B224:C224"/>
    <mergeCell ref="B100:C100"/>
    <mergeCell ref="B101:C101"/>
    <mergeCell ref="B104:C104"/>
    <mergeCell ref="B208:C208"/>
    <mergeCell ref="B209:C209"/>
    <mergeCell ref="B210:C210"/>
    <mergeCell ref="B211:C211"/>
    <mergeCell ref="B207:C207"/>
    <mergeCell ref="B203:C203"/>
    <mergeCell ref="B225:C225"/>
    <mergeCell ref="B226:C226"/>
    <mergeCell ref="B205:C205"/>
    <mergeCell ref="B213:C213"/>
  </mergeCells>
  <phoneticPr fontId="0" type="noConversion"/>
  <printOptions horizontalCentered="1"/>
  <pageMargins left="0" right="0" top="0.46" bottom="0.3" header="0.21" footer="0.11811023622047245"/>
  <pageSetup paperSize="9" scale="70" orientation="landscape" r:id="rId1"/>
  <headerFooter alignWithMargins="0">
    <oddFooter>&amp;R&amp;P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5"/>
  <dimension ref="A1:O37"/>
  <sheetViews>
    <sheetView showZeros="0" zoomScale="75" workbookViewId="0">
      <selection sqref="A1:IV4"/>
    </sheetView>
  </sheetViews>
  <sheetFormatPr defaultRowHeight="14.25"/>
  <cols>
    <col min="1" max="1" width="11.85546875" style="13" customWidth="1"/>
    <col min="2" max="2" width="53.140625" style="3" customWidth="1"/>
    <col min="3" max="3" width="16.85546875" style="10" bestFit="1" customWidth="1"/>
    <col min="4" max="4" width="10" style="13" customWidth="1"/>
    <col min="5" max="6" width="13" style="13" customWidth="1"/>
    <col min="7" max="7" width="13" style="23" customWidth="1"/>
    <col min="8" max="14" width="13" customWidth="1"/>
  </cols>
  <sheetData>
    <row r="1" spans="1:15" s="1" customFormat="1" ht="19.5" customHeight="1">
      <c r="A1" s="54"/>
      <c r="B1" s="24"/>
      <c r="C1" s="30"/>
      <c r="D1" s="34"/>
      <c r="E1" s="34"/>
      <c r="F1" s="19"/>
      <c r="G1" s="37"/>
      <c r="H1" s="33"/>
      <c r="I1" s="31"/>
      <c r="J1" s="31"/>
      <c r="K1" s="4"/>
      <c r="L1" s="4"/>
      <c r="M1" s="20"/>
      <c r="N1" s="31"/>
    </row>
    <row r="2" spans="1:15" s="29" customFormat="1" ht="19.5" customHeight="1" thickBot="1">
      <c r="A2" s="54" t="s">
        <v>1145</v>
      </c>
      <c r="B2" s="32"/>
      <c r="C2" s="30"/>
      <c r="D2" s="18"/>
      <c r="E2" s="35"/>
      <c r="F2" s="130" t="s">
        <v>1146</v>
      </c>
      <c r="G2" s="35"/>
      <c r="H2" s="35"/>
      <c r="I2" s="35"/>
      <c r="J2" s="35"/>
      <c r="K2" s="16" t="str">
        <f>'planilha analítico'!F4</f>
        <v>prazo da obra: 10 meses</v>
      </c>
      <c r="L2" s="4"/>
      <c r="M2" s="35"/>
      <c r="N2" s="35"/>
    </row>
    <row r="3" spans="1:15" s="49" customFormat="1" ht="12.75" customHeight="1">
      <c r="A3" s="224" t="s">
        <v>748</v>
      </c>
      <c r="B3" s="220" t="s">
        <v>747</v>
      </c>
      <c r="C3" s="220" t="s">
        <v>751</v>
      </c>
      <c r="D3" s="222" t="s">
        <v>1040</v>
      </c>
      <c r="E3" s="52" t="s">
        <v>464</v>
      </c>
      <c r="F3" s="46" t="s">
        <v>464</v>
      </c>
      <c r="G3" s="46" t="s">
        <v>464</v>
      </c>
      <c r="H3" s="46" t="s">
        <v>464</v>
      </c>
      <c r="I3" s="46" t="s">
        <v>464</v>
      </c>
      <c r="J3" s="46" t="s">
        <v>464</v>
      </c>
      <c r="K3" s="46" t="s">
        <v>464</v>
      </c>
      <c r="L3" s="46" t="s">
        <v>464</v>
      </c>
      <c r="M3" s="46" t="s">
        <v>464</v>
      </c>
      <c r="N3" s="47" t="s">
        <v>464</v>
      </c>
      <c r="O3" s="48"/>
    </row>
    <row r="4" spans="1:15" s="49" customFormat="1" ht="12.75" customHeight="1" thickBot="1">
      <c r="A4" s="225"/>
      <c r="B4" s="221"/>
      <c r="C4" s="221"/>
      <c r="D4" s="223"/>
      <c r="E4" s="53">
        <v>1</v>
      </c>
      <c r="F4" s="50">
        <v>2</v>
      </c>
      <c r="G4" s="50">
        <v>3</v>
      </c>
      <c r="H4" s="50">
        <v>4</v>
      </c>
      <c r="I4" s="50">
        <v>5</v>
      </c>
      <c r="J4" s="50">
        <v>6</v>
      </c>
      <c r="K4" s="50">
        <v>7</v>
      </c>
      <c r="L4" s="50">
        <v>8</v>
      </c>
      <c r="M4" s="50">
        <v>9</v>
      </c>
      <c r="N4" s="51">
        <v>10</v>
      </c>
      <c r="O4" s="48"/>
    </row>
    <row r="5" spans="1:15" ht="12.75" customHeight="1">
      <c r="A5" s="55"/>
      <c r="B5" s="39"/>
      <c r="C5" s="41"/>
      <c r="D5" s="42"/>
      <c r="E5" s="27"/>
      <c r="F5" s="26"/>
      <c r="G5" s="56"/>
      <c r="H5" s="57"/>
      <c r="I5" s="57"/>
      <c r="J5" s="57"/>
      <c r="K5" s="57"/>
      <c r="L5" s="57"/>
      <c r="M5" s="57"/>
      <c r="N5" s="58"/>
    </row>
    <row r="6" spans="1:15" ht="18" customHeight="1">
      <c r="A6" s="150"/>
      <c r="B6" s="145"/>
      <c r="C6" s="151"/>
      <c r="D6" s="152"/>
      <c r="E6" s="149"/>
      <c r="F6" s="152"/>
      <c r="G6" s="153"/>
      <c r="H6" s="28"/>
      <c r="I6" s="28"/>
      <c r="J6" s="28"/>
      <c r="K6" s="28"/>
      <c r="L6" s="28"/>
      <c r="M6" s="28"/>
      <c r="N6" s="28"/>
    </row>
    <row r="7" spans="1:15" ht="18" customHeight="1">
      <c r="A7" s="150" t="str">
        <f>'planilha analítico'!$A$8</f>
        <v>01.00.000</v>
      </c>
      <c r="B7" s="145" t="str">
        <f>'planilha analítico'!$B$8:$C$8</f>
        <v>SERVIÇOS TÉCNICOS - PROFISSIONAIS</v>
      </c>
      <c r="C7" s="146">
        <f>'planilha analítico'!$H$13</f>
        <v>3631.09</v>
      </c>
      <c r="D7" s="147">
        <f>'planilha analítico'!$H$12</f>
        <v>1.1999999999999999E-3</v>
      </c>
      <c r="E7" s="148"/>
      <c r="F7" s="62"/>
      <c r="G7" s="149"/>
      <c r="H7" s="28"/>
      <c r="I7" s="28"/>
      <c r="J7" s="28"/>
      <c r="K7" s="28"/>
      <c r="L7" s="28"/>
      <c r="M7" s="28"/>
      <c r="N7" s="28"/>
    </row>
    <row r="8" spans="1:15" ht="18" customHeight="1">
      <c r="A8" s="150"/>
      <c r="B8" s="145"/>
      <c r="C8" s="146">
        <v>0</v>
      </c>
      <c r="D8" s="147">
        <v>0</v>
      </c>
      <c r="E8" s="149"/>
      <c r="F8" s="62"/>
      <c r="G8" s="149"/>
      <c r="H8" s="28"/>
      <c r="I8" s="28"/>
      <c r="J8" s="28"/>
      <c r="K8" s="28"/>
      <c r="L8" s="28"/>
      <c r="M8" s="28"/>
      <c r="N8" s="28"/>
    </row>
    <row r="9" spans="1:15" ht="18" customHeight="1">
      <c r="A9" s="154" t="str">
        <f>'planilha analítico'!$A$14</f>
        <v>02.00.000</v>
      </c>
      <c r="B9" s="155" t="str">
        <f>'planilha analítico'!$B$14:$C$14</f>
        <v>SERVIÇOS PRELIMINARES</v>
      </c>
      <c r="C9" s="146">
        <f>'planilha analítico'!$H$41</f>
        <v>93421.96</v>
      </c>
      <c r="D9" s="147">
        <f>'planilha analítico'!$H$40</f>
        <v>2.9700000000000001E-2</v>
      </c>
      <c r="E9" s="156"/>
      <c r="F9" s="62"/>
      <c r="G9" s="135"/>
      <c r="H9" s="28"/>
      <c r="I9" s="28"/>
      <c r="J9" s="28"/>
      <c r="K9" s="28"/>
      <c r="L9" s="28"/>
      <c r="M9" s="28"/>
      <c r="N9" s="28"/>
    </row>
    <row r="10" spans="1:15" ht="18" customHeight="1">
      <c r="A10" s="154"/>
      <c r="B10" s="155"/>
      <c r="C10" s="146">
        <v>0</v>
      </c>
      <c r="D10" s="147">
        <v>0</v>
      </c>
      <c r="E10" s="61"/>
      <c r="F10" s="62"/>
      <c r="G10" s="135"/>
      <c r="H10" s="28"/>
      <c r="I10" s="28"/>
      <c r="J10" s="28"/>
      <c r="K10" s="28"/>
      <c r="L10" s="28"/>
      <c r="M10" s="28"/>
      <c r="N10" s="28"/>
    </row>
    <row r="11" spans="1:15" ht="18" customHeight="1">
      <c r="A11" s="154" t="str">
        <f>'planilha analítico'!$A$42</f>
        <v>03.00.000</v>
      </c>
      <c r="B11" s="157" t="str">
        <f>'planilha analítico'!$B$42:$C$42</f>
        <v>FUNDAÇÕES E ESTRUTURAS</v>
      </c>
      <c r="C11" s="146">
        <f>'planilha analítico'!$H$111</f>
        <v>899521.14</v>
      </c>
      <c r="D11" s="147">
        <f>'planilha analítico'!$H$110</f>
        <v>0.28560000000000002</v>
      </c>
      <c r="E11" s="156"/>
      <c r="F11" s="158"/>
      <c r="G11" s="159"/>
      <c r="H11" s="160"/>
      <c r="I11" s="28"/>
      <c r="J11" s="28"/>
      <c r="K11" s="28"/>
      <c r="L11" s="28"/>
      <c r="M11" s="28"/>
      <c r="N11" s="28"/>
    </row>
    <row r="12" spans="1:15" ht="18" customHeight="1">
      <c r="A12" s="154"/>
      <c r="B12" s="157"/>
      <c r="C12" s="146">
        <v>0</v>
      </c>
      <c r="D12" s="147">
        <v>0</v>
      </c>
      <c r="E12" s="61"/>
      <c r="F12" s="62"/>
      <c r="G12" s="135"/>
      <c r="H12" s="28"/>
      <c r="I12" s="28"/>
      <c r="J12" s="28"/>
      <c r="K12" s="28"/>
      <c r="L12" s="28"/>
      <c r="M12" s="28"/>
      <c r="N12" s="28"/>
    </row>
    <row r="13" spans="1:15" ht="18" customHeight="1">
      <c r="A13" s="154" t="str">
        <f>'planilha analítico'!$A$112</f>
        <v>04.00.000</v>
      </c>
      <c r="B13" s="157" t="str">
        <f>'planilha analítico'!$B$112:$C$112</f>
        <v>ARQUITETURA E ELEMENTOS DE URBANISMO</v>
      </c>
      <c r="C13" s="146">
        <f>'planilha analítico'!$H$275</f>
        <v>952212.63</v>
      </c>
      <c r="D13" s="147">
        <f>'planilha analítico'!$H$274</f>
        <v>0.3024</v>
      </c>
      <c r="E13" s="61"/>
      <c r="F13" s="62"/>
      <c r="G13" s="135"/>
      <c r="H13" s="160"/>
      <c r="I13" s="160"/>
      <c r="J13" s="160"/>
      <c r="K13" s="160"/>
      <c r="L13" s="160"/>
      <c r="M13" s="160"/>
      <c r="N13" s="160"/>
    </row>
    <row r="14" spans="1:15" ht="18" customHeight="1">
      <c r="A14" s="154"/>
      <c r="B14" s="157"/>
      <c r="C14" s="146">
        <v>0</v>
      </c>
      <c r="D14" s="147">
        <v>0</v>
      </c>
      <c r="E14" s="61"/>
      <c r="F14" s="62"/>
      <c r="G14" s="135"/>
      <c r="H14" s="28"/>
      <c r="I14" s="28"/>
      <c r="J14" s="28"/>
      <c r="K14" s="28"/>
      <c r="L14" s="28"/>
      <c r="M14" s="28"/>
      <c r="N14" s="28"/>
    </row>
    <row r="15" spans="1:15" ht="18" customHeight="1">
      <c r="A15" s="154" t="str">
        <f>'planilha analítico'!$A$276</f>
        <v>05.00.000</v>
      </c>
      <c r="B15" s="157" t="str">
        <f>'planilha analítico'!$B$276:$C$276</f>
        <v>INSTALAÇÕES HIDRÁULICAS E SANITÁRIAS</v>
      </c>
      <c r="C15" s="146">
        <f>'planilha analítico'!$H$362</f>
        <v>137839.53</v>
      </c>
      <c r="D15" s="147">
        <f>'planilha analítico'!$H$361</f>
        <v>4.3799999999999999E-2</v>
      </c>
      <c r="E15" s="61"/>
      <c r="F15" s="62"/>
      <c r="G15" s="159"/>
      <c r="H15" s="160"/>
      <c r="I15" s="160"/>
      <c r="J15" s="160"/>
      <c r="K15" s="160"/>
      <c r="L15" s="160"/>
      <c r="M15" s="160"/>
      <c r="N15" s="160"/>
    </row>
    <row r="16" spans="1:15" ht="18" customHeight="1">
      <c r="A16" s="154"/>
      <c r="B16" s="157"/>
      <c r="C16" s="146">
        <v>0</v>
      </c>
      <c r="D16" s="147">
        <v>0</v>
      </c>
      <c r="E16" s="61"/>
      <c r="F16" s="62"/>
      <c r="G16" s="135"/>
      <c r="H16" s="28"/>
      <c r="I16" s="28"/>
      <c r="J16" s="28"/>
      <c r="K16" s="28"/>
      <c r="L16" s="28"/>
      <c r="M16" s="28"/>
      <c r="N16" s="28"/>
    </row>
    <row r="17" spans="1:14" ht="18" customHeight="1">
      <c r="A17" s="154" t="str">
        <f>'planilha analítico'!$A$363</f>
        <v>06.00.000</v>
      </c>
      <c r="B17" s="157" t="str">
        <f>'planilha analítico'!$B$363:$C$363</f>
        <v>INSTALAÇÕES ELÉTRICAS E ELETRÔNICAS</v>
      </c>
      <c r="C17" s="146">
        <f>'planilha analítico'!$H$489</f>
        <v>138282.59</v>
      </c>
      <c r="D17" s="147">
        <f>'planilha analítico'!$H$488</f>
        <v>4.3900000000000002E-2</v>
      </c>
      <c r="E17" s="61"/>
      <c r="F17" s="62"/>
      <c r="G17" s="159"/>
      <c r="H17" s="160"/>
      <c r="I17" s="160"/>
      <c r="J17" s="160"/>
      <c r="K17" s="160"/>
      <c r="L17" s="160"/>
      <c r="M17" s="160"/>
      <c r="N17" s="160"/>
    </row>
    <row r="18" spans="1:14" ht="18" customHeight="1">
      <c r="A18" s="154"/>
      <c r="B18" s="157"/>
      <c r="C18" s="146">
        <v>0</v>
      </c>
      <c r="D18" s="147">
        <v>0</v>
      </c>
      <c r="E18" s="61"/>
      <c r="F18" s="62"/>
      <c r="G18" s="135"/>
      <c r="H18" s="28"/>
      <c r="I18" s="28"/>
      <c r="J18" s="28"/>
      <c r="K18" s="28"/>
      <c r="L18" s="28"/>
      <c r="M18" s="28"/>
      <c r="N18" s="28"/>
    </row>
    <row r="19" spans="1:14" ht="18" customHeight="1">
      <c r="A19" s="154" t="str">
        <f>'planilha analítico'!$A$490</f>
        <v>07.00.000</v>
      </c>
      <c r="B19" s="157" t="str">
        <f>'planilha analítico'!$B$490:$C$490</f>
        <v>INSTALAÇÕES MECÂNICAS E DE UTILIDADES</v>
      </c>
      <c r="C19" s="146">
        <f>'planilha analítico'!$H$589</f>
        <v>171709.48</v>
      </c>
      <c r="D19" s="147">
        <f>'planilha analítico'!$H$588</f>
        <v>5.45E-2</v>
      </c>
      <c r="E19" s="61"/>
      <c r="F19" s="62"/>
      <c r="G19" s="62"/>
      <c r="H19" s="62"/>
      <c r="I19" s="62"/>
      <c r="J19" s="160"/>
      <c r="K19" s="160"/>
      <c r="L19" s="160"/>
      <c r="M19" s="160"/>
      <c r="N19" s="160"/>
    </row>
    <row r="20" spans="1:14" ht="18" customHeight="1">
      <c r="A20" s="154"/>
      <c r="B20" s="157"/>
      <c r="C20" s="146">
        <v>0</v>
      </c>
      <c r="D20" s="147">
        <v>0</v>
      </c>
      <c r="E20" s="61"/>
      <c r="F20" s="62"/>
      <c r="G20" s="135"/>
      <c r="H20" s="28"/>
      <c r="I20" s="28"/>
      <c r="J20" s="28"/>
      <c r="K20" s="28"/>
      <c r="L20" s="28"/>
      <c r="M20" s="28"/>
      <c r="N20" s="28"/>
    </row>
    <row r="21" spans="1:14" ht="18" customHeight="1">
      <c r="A21" s="154" t="str">
        <f>'planilha analítico'!$A$590</f>
        <v>08.00.000</v>
      </c>
      <c r="B21" s="157" t="str">
        <f>'planilha analítico'!$B$590:$C$590</f>
        <v>INSTALAÇÕES DE PREVENÇÃO A INCÊNDIO E SPDA</v>
      </c>
      <c r="C21" s="146">
        <f>'planilha analítico'!$H$617</f>
        <v>15718.61</v>
      </c>
      <c r="D21" s="147">
        <f>'planilha analítico'!$H$616</f>
        <v>5.0000000000000001E-3</v>
      </c>
      <c r="E21" s="61"/>
      <c r="F21" s="62"/>
      <c r="G21" s="159"/>
      <c r="H21" s="160"/>
      <c r="I21" s="160"/>
      <c r="J21" s="160"/>
      <c r="K21" s="160"/>
      <c r="L21" s="160"/>
      <c r="M21" s="160"/>
      <c r="N21" s="160"/>
    </row>
    <row r="22" spans="1:14" ht="18" customHeight="1">
      <c r="A22" s="154"/>
      <c r="B22" s="157"/>
      <c r="C22" s="146">
        <v>0</v>
      </c>
      <c r="D22" s="147">
        <v>0</v>
      </c>
      <c r="E22" s="61"/>
      <c r="F22" s="62"/>
      <c r="G22" s="135"/>
      <c r="H22" s="28"/>
      <c r="I22" s="28"/>
      <c r="J22" s="28"/>
      <c r="K22" s="28"/>
      <c r="L22" s="28"/>
      <c r="M22" s="28"/>
      <c r="N22" s="28"/>
    </row>
    <row r="23" spans="1:14" ht="18" customHeight="1">
      <c r="A23" s="154" t="str">
        <f>'planilha analítico'!$A$618</f>
        <v>09.00.000</v>
      </c>
      <c r="B23" s="157" t="str">
        <f>'planilha analítico'!$B$618:$C$618</f>
        <v>SERVIÇOS COMPLEMENTARES</v>
      </c>
      <c r="C23" s="146">
        <f>'planilha analítico'!$H$630</f>
        <v>21976</v>
      </c>
      <c r="D23" s="147">
        <f>'planilha analítico'!$H$629</f>
        <v>7.0000000000000001E-3</v>
      </c>
      <c r="E23" s="159"/>
      <c r="F23" s="159"/>
      <c r="G23" s="159"/>
      <c r="H23" s="160"/>
      <c r="I23" s="160"/>
      <c r="J23" s="160"/>
      <c r="K23" s="160"/>
      <c r="L23" s="160"/>
      <c r="M23" s="160"/>
      <c r="N23" s="160"/>
    </row>
    <row r="24" spans="1:14" ht="18" customHeight="1">
      <c r="A24" s="154"/>
      <c r="B24" s="157"/>
      <c r="C24" s="146">
        <v>0</v>
      </c>
      <c r="D24" s="147">
        <v>0</v>
      </c>
      <c r="E24" s="61"/>
      <c r="F24" s="62"/>
      <c r="G24" s="135"/>
      <c r="H24" s="28"/>
      <c r="I24" s="28"/>
      <c r="J24" s="28"/>
      <c r="K24" s="28"/>
      <c r="L24" s="28"/>
      <c r="M24" s="28"/>
      <c r="N24" s="28"/>
    </row>
    <row r="25" spans="1:14" ht="18" customHeight="1">
      <c r="A25" s="154" t="str">
        <f>'planilha analítico'!$A$631</f>
        <v>10.00.000</v>
      </c>
      <c r="B25" s="157" t="str">
        <f>'planilha analítico'!$B$631:$C$631</f>
        <v>SERVIÇOS AUXILIARES E ADMINISTRATIVOS</v>
      </c>
      <c r="C25" s="146">
        <f>'planilha analítico'!$H$639</f>
        <v>190000</v>
      </c>
      <c r="D25" s="147">
        <f>'planilha analítico'!$H$638</f>
        <v>6.0299999999999999E-2</v>
      </c>
      <c r="E25" s="159"/>
      <c r="F25" s="159"/>
      <c r="G25" s="159"/>
      <c r="H25" s="160"/>
      <c r="I25" s="160"/>
      <c r="J25" s="160"/>
      <c r="K25" s="160"/>
      <c r="L25" s="160"/>
      <c r="M25" s="160"/>
      <c r="N25" s="160"/>
    </row>
    <row r="26" spans="1:14" s="1" customFormat="1" ht="18" customHeight="1">
      <c r="A26" s="154"/>
      <c r="B26" s="161"/>
      <c r="C26" s="146"/>
      <c r="D26" s="147"/>
      <c r="E26" s="135"/>
      <c r="F26" s="135"/>
      <c r="G26" s="135"/>
      <c r="H26" s="28"/>
      <c r="I26" s="28"/>
      <c r="J26" s="28"/>
      <c r="K26" s="28"/>
      <c r="L26" s="28"/>
      <c r="M26" s="28"/>
      <c r="N26" s="28"/>
    </row>
    <row r="27" spans="1:14" s="1" customFormat="1" ht="18" customHeight="1">
      <c r="A27" s="154"/>
      <c r="B27" s="161" t="str">
        <f>'planilha analítico'!$B$642</f>
        <v>B.D.I  E IMPOSTOS  20%</v>
      </c>
      <c r="C27" s="146">
        <f>'planilha analítico'!$H$642</f>
        <v>524862.61</v>
      </c>
      <c r="D27" s="147">
        <f>'planilha analítico'!$I$642</f>
        <v>0.16669999999999999</v>
      </c>
      <c r="E27" s="159"/>
      <c r="F27" s="159"/>
      <c r="G27" s="159"/>
      <c r="H27" s="160"/>
      <c r="I27" s="160"/>
      <c r="J27" s="160"/>
      <c r="K27" s="160"/>
      <c r="L27" s="160"/>
      <c r="M27" s="160"/>
      <c r="N27" s="160"/>
    </row>
    <row r="28" spans="1:14" ht="15">
      <c r="A28" s="60"/>
      <c r="B28" s="38"/>
      <c r="C28" s="22"/>
      <c r="D28" s="43"/>
      <c r="E28" s="11"/>
      <c r="F28" s="12"/>
      <c r="G28" s="45"/>
      <c r="H28" s="44"/>
      <c r="I28" s="44"/>
      <c r="J28" s="44"/>
      <c r="K28" s="44"/>
      <c r="L28" s="44"/>
      <c r="M28" s="44"/>
      <c r="N28" s="59"/>
    </row>
    <row r="29" spans="1:14" ht="15">
      <c r="A29" s="60"/>
      <c r="B29" s="38"/>
      <c r="C29" s="22"/>
      <c r="D29" s="43"/>
      <c r="E29" s="11"/>
      <c r="F29" s="12"/>
      <c r="G29" s="45"/>
      <c r="H29" s="44"/>
      <c r="I29" s="44"/>
      <c r="J29" s="44"/>
      <c r="K29" s="44"/>
      <c r="L29" s="44"/>
      <c r="M29" s="44"/>
      <c r="N29" s="59"/>
    </row>
    <row r="30" spans="1:14" ht="12.75" customHeight="1">
      <c r="A30" s="60"/>
      <c r="B30" s="131"/>
      <c r="C30" s="22"/>
      <c r="D30" s="142"/>
      <c r="E30" s="11"/>
      <c r="F30" s="12"/>
      <c r="G30" s="45"/>
      <c r="H30" s="44"/>
      <c r="I30" s="44"/>
      <c r="J30" s="44"/>
      <c r="K30" s="44"/>
      <c r="L30" s="44"/>
      <c r="M30" s="44"/>
      <c r="N30" s="59"/>
    </row>
    <row r="31" spans="1:14" ht="24.75" customHeight="1">
      <c r="A31" s="132"/>
      <c r="B31" s="140" t="s">
        <v>546</v>
      </c>
      <c r="C31" s="141">
        <f>SUM(C5:C30)</f>
        <v>3149175.64</v>
      </c>
      <c r="D31" s="143">
        <f>SUM(D6:D30)</f>
        <v>1</v>
      </c>
      <c r="E31" s="61"/>
      <c r="F31" s="134"/>
      <c r="G31" s="135"/>
      <c r="H31" s="136"/>
      <c r="I31" s="136"/>
      <c r="J31" s="136"/>
      <c r="K31" s="136"/>
      <c r="L31" s="136"/>
      <c r="M31" s="136"/>
      <c r="N31" s="136"/>
    </row>
    <row r="32" spans="1:14" ht="24.75" customHeight="1">
      <c r="A32" s="137"/>
      <c r="B32" s="140" t="s">
        <v>785</v>
      </c>
      <c r="C32" s="138" t="s">
        <v>784</v>
      </c>
      <c r="D32" s="139"/>
      <c r="E32" s="61"/>
      <c r="F32" s="134"/>
      <c r="G32" s="135"/>
      <c r="H32" s="136"/>
      <c r="I32" s="136"/>
      <c r="J32" s="136"/>
      <c r="K32" s="136"/>
      <c r="L32" s="136"/>
      <c r="M32" s="136"/>
      <c r="N32" s="136"/>
    </row>
    <row r="33" spans="1:14" ht="24" customHeight="1">
      <c r="A33" s="132"/>
      <c r="B33" s="144" t="s">
        <v>787</v>
      </c>
      <c r="C33" s="133" t="s">
        <v>758</v>
      </c>
      <c r="D33" s="134"/>
      <c r="E33" s="61"/>
      <c r="F33" s="134"/>
      <c r="G33" s="135"/>
      <c r="H33" s="136"/>
      <c r="I33" s="136"/>
      <c r="J33" s="136"/>
      <c r="K33" s="136"/>
      <c r="L33" s="136"/>
      <c r="M33" s="136"/>
      <c r="N33" s="136"/>
    </row>
    <row r="34" spans="1:14" ht="24" customHeight="1">
      <c r="A34" s="132"/>
      <c r="B34" s="144" t="s">
        <v>786</v>
      </c>
      <c r="C34" s="138" t="s">
        <v>784</v>
      </c>
      <c r="D34" s="134"/>
      <c r="E34" s="61"/>
      <c r="F34" s="134"/>
      <c r="G34" s="135"/>
      <c r="H34" s="136"/>
      <c r="I34" s="136"/>
      <c r="J34" s="136"/>
      <c r="K34" s="136"/>
      <c r="L34" s="136"/>
      <c r="M34" s="136"/>
      <c r="N34" s="136"/>
    </row>
    <row r="35" spans="1:14" ht="23.25" customHeight="1">
      <c r="A35" s="132"/>
      <c r="B35" s="144" t="s">
        <v>788</v>
      </c>
      <c r="C35" s="133" t="s">
        <v>758</v>
      </c>
      <c r="D35" s="134"/>
      <c r="E35" s="61"/>
      <c r="F35" s="134"/>
      <c r="G35" s="135"/>
      <c r="H35" s="136"/>
      <c r="I35" s="136"/>
      <c r="J35" s="136"/>
      <c r="K35" s="136"/>
      <c r="L35" s="136"/>
      <c r="M35" s="136"/>
      <c r="N35" s="136"/>
    </row>
    <row r="37" spans="1:14">
      <c r="A37" s="162" t="s">
        <v>1147</v>
      </c>
      <c r="B37" s="3" t="s">
        <v>1148</v>
      </c>
    </row>
  </sheetData>
  <mergeCells count="4">
    <mergeCell ref="B3:B4"/>
    <mergeCell ref="C3:C4"/>
    <mergeCell ref="D3:D4"/>
    <mergeCell ref="A3:A4"/>
  </mergeCells>
  <phoneticPr fontId="0" type="noConversion"/>
  <printOptions horizontalCentered="1" gridLines="1"/>
  <pageMargins left="0" right="0" top="0.72" bottom="0.39370078740157483" header="0.51181102362204722" footer="0.11811023622047245"/>
  <pageSetup paperSize="9" scale="65" orientation="landscape" r:id="rId1"/>
  <headerFooter alignWithMargins="0">
    <oddFooter>Página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planilha analítico</vt:lpstr>
      <vt:lpstr>cronog fisico</vt:lpstr>
      <vt:lpstr>'cronog fisico'!Area_de_impressao</vt:lpstr>
      <vt:lpstr>'planilha analítico'!Area_de_impressao</vt:lpstr>
      <vt:lpstr>'planilha analítico'!Titulos_de_impressao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DE ORÇAMENTO</dc:title>
  <dc:creator/>
  <cp:lastModifiedBy>Augusto</cp:lastModifiedBy>
  <cp:lastPrinted>2011-06-17T11:57:46Z</cp:lastPrinted>
  <dcterms:created xsi:type="dcterms:W3CDTF">1998-03-02T10:32:24Z</dcterms:created>
  <dcterms:modified xsi:type="dcterms:W3CDTF">2013-08-30T17:28:17Z</dcterms:modified>
</cp:coreProperties>
</file>